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ANALISIS INGRESOS" sheetId="2" r:id="rId5"/>
  </sheets>
  <definedNames/>
  <calcPr/>
  <extLst>
    <ext uri="GoogleSheetsCustomDataVersion2">
      <go:sheetsCustomData xmlns:go="http://customooxmlschemas.google.com/" r:id="rId6" roundtripDataChecksum="V47hCWGbDc/zry7dEx8LqizMFjPHMLR4IeJgpG8TDgI="/>
    </ext>
  </extLst>
</workbook>
</file>

<file path=xl/sharedStrings.xml><?xml version="1.0" encoding="utf-8"?>
<sst xmlns="http://schemas.openxmlformats.org/spreadsheetml/2006/main" count="186" uniqueCount="159">
  <si>
    <t>EXPERIENCIA</t>
  </si>
  <si>
    <t>EDT- Planilla Estructura de Descomposición de Tareas</t>
  </si>
  <si>
    <t>SIGLA</t>
  </si>
  <si>
    <t>ROL</t>
  </si>
  <si>
    <t>(- 2 años)</t>
  </si>
  <si>
    <t>(+2 años)</t>
  </si>
  <si>
    <t>RESPONS.</t>
  </si>
  <si>
    <t>SUELDO</t>
  </si>
  <si>
    <t>HH</t>
  </si>
  <si>
    <t>SM</t>
  </si>
  <si>
    <t>Jefe de Proyecto</t>
  </si>
  <si>
    <t>x</t>
  </si>
  <si>
    <t>ACTIVIDADES</t>
  </si>
  <si>
    <t>Horas por Actividad o entregable</t>
  </si>
  <si>
    <t>DICCIONARIO EDT</t>
  </si>
  <si>
    <t>1. Análisis y planificación</t>
  </si>
  <si>
    <t>Días</t>
  </si>
  <si>
    <t xml:space="preserve"> PO</t>
  </si>
  <si>
    <t>PG</t>
  </si>
  <si>
    <t>PO</t>
  </si>
  <si>
    <t>Analista Funcional</t>
  </si>
  <si>
    <t>NOMBRE</t>
  </si>
  <si>
    <t>COSTO x HORA</t>
  </si>
  <si>
    <t>1.1 Inicio del proyecto</t>
  </si>
  <si>
    <t>Programador</t>
  </si>
  <si>
    <t>Scrum Master</t>
  </si>
  <si>
    <t>Alejandra Riquelme</t>
  </si>
  <si>
    <t>1.1.1 Reunión de kick off</t>
  </si>
  <si>
    <t>Hrs.Sem.</t>
  </si>
  <si>
    <t>Product Owner</t>
  </si>
  <si>
    <t>HRS.Mens.</t>
  </si>
  <si>
    <t>Natalia Sánchez</t>
  </si>
  <si>
    <t>1.1.2 Acuerdos de trabajo y canales</t>
  </si>
  <si>
    <t>Sueldo/180hrs</t>
  </si>
  <si>
    <t>Yamilet Maureira</t>
  </si>
  <si>
    <t>1.2 Acta de constitución</t>
  </si>
  <si>
    <t>PROMEDIO</t>
  </si>
  <si>
    <t>1.2.1 Redacción del acta</t>
  </si>
  <si>
    <t>PROGRAMADOR</t>
  </si>
  <si>
    <t>SCRUM MASTER</t>
  </si>
  <si>
    <t>PRODUCT OWNER</t>
  </si>
  <si>
    <t>1.2.2 Revisión y aprobación</t>
  </si>
  <si>
    <t>Ingreso Primer Año</t>
  </si>
  <si>
    <t>1.3 Análisis del caso y visión</t>
  </si>
  <si>
    <t>1.3.1 Levantamiento del proceso de esterilización</t>
  </si>
  <si>
    <t>Ingreso Experiencia</t>
  </si>
  <si>
    <t>1.3.2 Visión del proyecto y 4 pilares</t>
  </si>
  <si>
    <t>COSTO POR FASE</t>
  </si>
  <si>
    <t>1.3.3 Alcance del MVP</t>
  </si>
  <si>
    <t>Análisis y planificación</t>
  </si>
  <si>
    <t>1.4 Requerimientos</t>
  </si>
  <si>
    <t>Diseño</t>
  </si>
  <si>
    <t>1.4.1 Relevamiento con el servicio</t>
  </si>
  <si>
    <t>Desarrollo</t>
  </si>
  <si>
    <t xml:space="preserve"> </t>
  </si>
  <si>
    <t>1.4.2 Redacción de la planilla (R01 a R26)</t>
  </si>
  <si>
    <t>Pruebas y cierre</t>
  </si>
  <si>
    <t>1.4.3 Validación de requerimientos con la PO</t>
  </si>
  <si>
    <t>Total proyecto</t>
  </si>
  <si>
    <t>1.5 Backlog</t>
  </si>
  <si>
    <t>1.5.1 Épicas</t>
  </si>
  <si>
    <t>COSTO HH POR ROL</t>
  </si>
  <si>
    <t>1.5.2 Historias de usuario</t>
  </si>
  <si>
    <t>1.5.3 Priorización y sprint backlog</t>
  </si>
  <si>
    <t>1.6 Plan de proyecto</t>
  </si>
  <si>
    <t>1.6.1 EDT y estimación de horas</t>
  </si>
  <si>
    <t>Total</t>
  </si>
  <si>
    <t>1.6.2 Calendario de sprints</t>
  </si>
  <si>
    <t>2. Diseño</t>
  </si>
  <si>
    <t>2.1 Casos de uso y calidad</t>
  </si>
  <si>
    <t>2.1.1 Modelo de casos de uso</t>
  </si>
  <si>
    <t>2.1.2 Escenarios de calidad</t>
  </si>
  <si>
    <t>2.1.3 Trazabilidad con la planilla 4.1</t>
  </si>
  <si>
    <t>COSTO POR COMPONENTE CODIFICACIÓN</t>
  </si>
  <si>
    <t>2.2 Modelo de datos</t>
  </si>
  <si>
    <t>Base de datos</t>
  </si>
  <si>
    <t>2.2.1 Modelo relacional PostgreSQL</t>
  </si>
  <si>
    <t>Inicio de sesión y permisos</t>
  </si>
  <si>
    <t>2.2.2 Diagrama de clases</t>
  </si>
  <si>
    <t>Estado y trazabilidad de la caja</t>
  </si>
  <si>
    <t>2.2.3 Revisión del modelo con la PO</t>
  </si>
  <si>
    <t>Recepción y entrega</t>
  </si>
  <si>
    <t>2.3 Diagramas de comportamiento</t>
  </si>
  <si>
    <t>Catálogo de cajas</t>
  </si>
  <si>
    <t>2.3.1 Diagrama de comunicación</t>
  </si>
  <si>
    <t>Inventario y alertas</t>
  </si>
  <si>
    <t>2.3.2 Secuencias del ciclo de la caja</t>
  </si>
  <si>
    <t>Administración y reportes</t>
  </si>
  <si>
    <t>2.3.3 Secuencias de consulta, inventario y reportes</t>
  </si>
  <si>
    <t>Integración y seguimiento ágil</t>
  </si>
  <si>
    <t>2.4 Mockups</t>
  </si>
  <si>
    <t>Total codificación</t>
  </si>
  <si>
    <t>2.4.1 Login y menú por rol</t>
  </si>
  <si>
    <t>2.4.2 Flujo de la caja: estado, etapa y entrega</t>
  </si>
  <si>
    <t>2.4.3 Inventario, catálogo y reportes</t>
  </si>
  <si>
    <t>3. Desarrollo</t>
  </si>
  <si>
    <t>3.1 Ambiente</t>
  </si>
  <si>
    <t>3.1.1 Docker Compose, red y PostgreSQL</t>
  </si>
  <si>
    <t>3.1.2 Esquema y migraciones</t>
  </si>
  <si>
    <t>3.1.3 Datos iniciales de roles y usuarios</t>
  </si>
  <si>
    <t>3.2 Acceso</t>
  </si>
  <si>
    <t>3.2.1 Formulario y validación de credenciales</t>
  </si>
  <si>
    <t>3.2.2 Sesión y permisos por rol</t>
  </si>
  <si>
    <t>3.2.3 Criterios de aceptación del acceso</t>
  </si>
  <si>
    <t>3.3 Estado y ubicación</t>
  </si>
  <si>
    <t>3.3.1 Listado de cajas por etapa</t>
  </si>
  <si>
    <t>3.3.2 Búsqueda por identificador</t>
  </si>
  <si>
    <t>3.3.3 Ubicación y aviso sin resultados</t>
  </si>
  <si>
    <t>3.4 Trazabilidad de la caja</t>
  </si>
  <si>
    <t>3.4.1 Avance de etapa y validación del ciclo</t>
  </si>
  <si>
    <t>3.4.2 Registro de actividad dentro de la etapa</t>
  </si>
  <si>
    <t>3.4.3 Retroceso con motivo</t>
  </si>
  <si>
    <t>3.5 Custodia</t>
  </si>
  <si>
    <t>3.5.1 Recepción: quién entrega y quién recibe</t>
  </si>
  <si>
    <t>3.5.2 Entrega al servicio y responsables</t>
  </si>
  <si>
    <t>3.6 Catálogo</t>
  </si>
  <si>
    <t>3.6.1 Consulta y filtro por servicio</t>
  </si>
  <si>
    <t>3.6.2 Ficha, contenido e imágenes</t>
  </si>
  <si>
    <t>3.6.3 Alta, modificación y retiro de cajas</t>
  </si>
  <si>
    <t>3.7 Inventario</t>
  </si>
  <si>
    <t>3.7.1 Consulta de inventarios por separado</t>
  </si>
  <si>
    <t>3.7.2 Movimientos y actualización de stock</t>
  </si>
  <si>
    <t>3.7.3 Stock mínimo y alertas</t>
  </si>
  <si>
    <t>3.8 Administración</t>
  </si>
  <si>
    <t>3.8.1 Gestión de usuarios y roles</t>
  </si>
  <si>
    <t>3.8.2 Consulta de auditoría</t>
  </si>
  <si>
    <t>3.8.3 Historial de entregas</t>
  </si>
  <si>
    <t>3.9 Producción</t>
  </si>
  <si>
    <t>3.9.1 Estadísticas por período y servicio</t>
  </si>
  <si>
    <t>3.9.2 Reporte, previsualización y descarga</t>
  </si>
  <si>
    <t>3.10 Seguimiento ágil</t>
  </si>
  <si>
    <t>3.10.1 Planning de sprint</t>
  </si>
  <si>
    <t>3.10.2 Review y retrospectiva</t>
  </si>
  <si>
    <t>3.10.3 Daily y tablero</t>
  </si>
  <si>
    <t>3.11 Integración</t>
  </si>
  <si>
    <t>3.11.1 Integración de módulos</t>
  </si>
  <si>
    <t>3.11.2 Corrección de flujos cruzados</t>
  </si>
  <si>
    <t>4. Pruebas y cierre</t>
  </si>
  <si>
    <t>4.1 Pruebas del sprint 1</t>
  </si>
  <si>
    <t>4.1.1 Login, estado y cambio de etapa</t>
  </si>
  <si>
    <t>4.1.2 Registro de defectos</t>
  </si>
  <si>
    <t>4.2 Pruebas del sprint 2</t>
  </si>
  <si>
    <t>4.2.1 Recepción, entrega, catálogo y ficha</t>
  </si>
  <si>
    <t>4.2.2 Actividad e inventario</t>
  </si>
  <si>
    <t>4.3 Pruebas del sprint 3</t>
  </si>
  <si>
    <t>4.3.1 Usuarios, auditoría y alertas</t>
  </si>
  <si>
    <t>4.3.2 Estadísticas y reportes</t>
  </si>
  <si>
    <t>4.4 Pruebas de integración</t>
  </si>
  <si>
    <t>4.4.1 Recorrido completo del ciclo</t>
  </si>
  <si>
    <t>4.4.2 Regresión de permisos por rol</t>
  </si>
  <si>
    <t>4.5 Validación</t>
  </si>
  <si>
    <t>4.5.1 Recorrido con criterios de aceptación</t>
  </si>
  <si>
    <t>4.5.2 Ajustes acordados con la PO</t>
  </si>
  <si>
    <t>4.6 Capacitación</t>
  </si>
  <si>
    <t>4.6.1 Guía de uso por rol</t>
  </si>
  <si>
    <t>4.6.2 Sesión con el servicio</t>
  </si>
  <si>
    <t>4.7 Cierre</t>
  </si>
  <si>
    <t>4.7.1 Evidencias técnicas y del DAS</t>
  </si>
  <si>
    <t>4.7.2 Lecciones aprendidas y cierre formal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</si>
</sst>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_ &quot;$&quot;* #,##0_ ;_ &quot;$&quot;* \-#,##0_ ;_ &quot;$&quot;* &quot;-&quot;_ ;_ @_ 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sz val="14.0"/>
      <color theme="1"/>
      <name val="Calibri"/>
    </font>
    <font>
      <b/>
      <sz val="11.0"/>
      <color theme="0"/>
      <name val="Calibri"/>
    </font>
    <font>
      <b/>
      <sz val="20.0"/>
      <color theme="1"/>
      <name val="Calibri"/>
    </font>
    <font/>
    <font>
      <b/>
      <sz val="11.0"/>
      <color rgb="FFFFFFFF"/>
      <name val="Calibri"/>
    </font>
    <font>
      <b/>
      <sz val="14.0"/>
      <color theme="0"/>
      <name val="Calibri"/>
    </font>
    <font>
      <b/>
      <sz val="14.0"/>
      <color rgb="FFFF0000"/>
      <name val="Calibri"/>
    </font>
    <font>
      <b/>
      <color rgb="FFFFFFFF"/>
      <name val="Calibri"/>
    </font>
    <font>
      <b/>
      <color theme="1"/>
      <name val="Calibri"/>
    </font>
    <font>
      <color theme="1"/>
      <name val="Calibri"/>
    </font>
    <font>
      <b/>
      <sz val="11.0"/>
      <color theme="1"/>
      <name val="Calibri"/>
    </font>
    <font>
      <sz val="50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7F7F7F"/>
        <bgColor rgb="FF7F7F7F"/>
      </patternFill>
    </fill>
    <fill>
      <patternFill patternType="solid">
        <fgColor rgb="FF1F4E79"/>
        <bgColor rgb="FF1F4E79"/>
      </patternFill>
    </fill>
    <fill>
      <patternFill patternType="solid">
        <fgColor rgb="FFD6EAF8"/>
        <bgColor rgb="FFD6EAF8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5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</border>
    <border>
      <top style="thin">
        <color rgb="FF000000"/>
      </top>
      <bottom style="thin">
        <color rgb="FF000000"/>
      </bottom>
    </border>
    <border>
      <top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bottom/>
    </border>
    <border>
      <bottom/>
    </border>
    <border>
      <right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</border>
    <border>
      <right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2" fontId="2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0" fillId="0" fontId="3" numFmtId="0" xfId="0" applyAlignment="1" applyFont="1">
      <alignment horizontal="left"/>
    </xf>
    <xf borderId="2" fillId="3" fontId="4" numFmtId="0" xfId="0" applyAlignment="1" applyBorder="1" applyFill="1" applyFont="1">
      <alignment horizontal="center"/>
    </xf>
    <xf borderId="3" fillId="2" fontId="5" numFmtId="0" xfId="0" applyAlignment="1" applyBorder="1" applyFill="1" applyFont="1">
      <alignment horizontal="left" shrinkToFit="0" vertical="top" wrapText="1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3" fontId="4" numFmtId="0" xfId="0" applyAlignment="1" applyBorder="1" applyFill="1" applyFont="1">
      <alignment horizontal="center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" fillId="2" fontId="1" numFmtId="0" xfId="0" applyAlignment="1" applyBorder="1" applyFill="1" applyFont="1">
      <alignment shrinkToFit="0" wrapText="1"/>
    </xf>
    <xf borderId="8" fillId="3" fontId="7" numFmtId="0" xfId="0" applyAlignment="1" applyBorder="1" applyFill="1" applyFont="1">
      <alignment horizontal="center"/>
    </xf>
    <xf borderId="8" fillId="0" fontId="1" numFmtId="0" xfId="0" applyBorder="1" applyFont="1"/>
    <xf borderId="8" fillId="0" fontId="1" numFmtId="0" xfId="0" applyAlignment="1" applyBorder="1" applyFont="1">
      <alignment horizontal="center"/>
    </xf>
    <xf borderId="8" fillId="0" fontId="1" numFmtId="9" xfId="0" applyAlignment="1" applyBorder="1" applyFont="1" applyNumberFormat="1">
      <alignment horizontal="center"/>
    </xf>
    <xf borderId="8" fillId="4" fontId="8" numFmtId="0" xfId="0" applyBorder="1" applyFill="1" applyFont="1"/>
    <xf borderId="8" fillId="4" fontId="9" numFmtId="0" xfId="0" applyAlignment="1" applyBorder="1" applyFill="1" applyFont="1">
      <alignment horizontal="center"/>
    </xf>
    <xf borderId="2" fillId="4" fontId="8" numFmtId="0" xfId="0" applyAlignment="1" applyBorder="1" applyFill="1" applyFont="1">
      <alignment horizontal="center"/>
    </xf>
    <xf borderId="8" fillId="0" fontId="1" numFmtId="164" xfId="0" applyBorder="1" applyFont="1" applyNumberFormat="1"/>
    <xf borderId="2" fillId="4" fontId="8" numFmtId="0" xfId="0" applyAlignment="1" applyBorder="1" applyFill="1" applyFont="1">
      <alignment horizontal="center" shrinkToFit="0" wrapText="1"/>
    </xf>
    <xf borderId="8" fillId="5" fontId="10" numFmtId="0" xfId="0" applyAlignment="1" applyBorder="1" applyFill="1" applyFont="1">
      <alignment horizontal="left" shrinkToFit="0" vertical="center" wrapText="1"/>
    </xf>
    <xf borderId="8" fillId="5" fontId="10" numFmtId="0" xfId="0" applyAlignment="1" applyBorder="1" applyFill="1" applyFont="1">
      <alignment horizontal="center" vertical="center"/>
    </xf>
    <xf borderId="8" fillId="3" fontId="4" numFmtId="0" xfId="0" applyAlignment="1" applyBorder="1" applyFill="1" applyFont="1">
      <alignment shrinkToFit="0" wrapText="1"/>
    </xf>
    <xf borderId="12" fillId="6" fontId="11" numFmtId="0" xfId="0" applyAlignment="1" applyBorder="1" applyFill="1" applyFont="1">
      <alignment horizontal="left" shrinkToFit="0" vertical="center" wrapText="1"/>
    </xf>
    <xf borderId="12" fillId="6" fontId="12" numFmtId="0" xfId="0" applyAlignment="1" applyBorder="1" applyFill="1" applyFont="1">
      <alignment horizontal="center" shrinkToFit="0" vertical="center" wrapText="1"/>
    </xf>
    <xf borderId="8" fillId="2" fontId="1" numFmtId="0" xfId="0" applyBorder="1" applyFill="1" applyFont="1"/>
    <xf borderId="8" fillId="2" fontId="1" numFmtId="164" xfId="0" applyBorder="1" applyFill="1" applyFont="1" applyNumberFormat="1"/>
    <xf borderId="12" fillId="0" fontId="1" numFmtId="0" xfId="0" applyAlignment="1" applyBorder="1" applyFont="1">
      <alignment horizontal="left" shrinkToFit="0" vertical="center" wrapText="1"/>
    </xf>
    <xf borderId="0" fillId="0" fontId="12" numFmtId="0" xfId="0" applyFont="1"/>
    <xf borderId="12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readingOrder="0" vertical="center"/>
    </xf>
    <xf borderId="8" fillId="3" fontId="4" numFmtId="0" xfId="0" applyBorder="1" applyFill="1" applyFont="1"/>
    <xf borderId="8" fillId="3" fontId="7" numFmtId="0" xfId="0" applyBorder="1" applyFill="1" applyFont="1"/>
    <xf borderId="8" fillId="0" fontId="13" numFmtId="0" xfId="0" applyBorder="1" applyFont="1"/>
    <xf borderId="12" fillId="6" fontId="12" numFmtId="0" xfId="0" applyAlignment="1" applyBorder="1" applyFill="1" applyFont="1">
      <alignment horizontal="center"/>
    </xf>
    <xf borderId="8" fillId="0" fontId="1" numFmtId="165" xfId="0" applyBorder="1" applyFont="1" applyNumberFormat="1"/>
    <xf borderId="8" fillId="3" fontId="11" numFmtId="0" xfId="0" applyAlignment="1" applyBorder="1" applyFill="1" applyFont="1">
      <alignment horizontal="left"/>
    </xf>
    <xf borderId="8" fillId="2" fontId="13" numFmtId="0" xfId="0" applyBorder="1" applyFill="1" applyFont="1"/>
    <xf borderId="8" fillId="2" fontId="13" numFmtId="0" xfId="0" applyAlignment="1" applyBorder="1" applyFill="1" applyFont="1">
      <alignment horizontal="left" vertical="center"/>
    </xf>
    <xf borderId="8" fillId="7" fontId="11" numFmtId="0" xfId="0" applyBorder="1" applyFill="1" applyFont="1"/>
    <xf borderId="8" fillId="2" fontId="11" numFmtId="164" xfId="0" applyBorder="1" applyFill="1" applyFont="1" applyNumberFormat="1"/>
    <xf borderId="8" fillId="2" fontId="11" numFmtId="0" xfId="0" applyBorder="1" applyFill="1" applyFont="1"/>
    <xf borderId="12" fillId="5" fontId="10" numFmtId="0" xfId="0" applyAlignment="1" applyBorder="1" applyFill="1" applyFont="1">
      <alignment horizontal="left" shrinkToFit="0" vertical="center" wrapText="1"/>
    </xf>
    <xf borderId="12" fillId="5" fontId="10" numFmtId="0" xfId="0" applyAlignment="1" applyBorder="1" applyFill="1" applyFont="1">
      <alignment horizontal="center" vertical="center"/>
    </xf>
    <xf borderId="8" fillId="3" fontId="1" numFmtId="0" xfId="0" applyBorder="1" applyFill="1" applyFont="1"/>
    <xf borderId="8" fillId="8" fontId="1" numFmtId="0" xfId="0" applyAlignment="1" applyBorder="1" applyFill="1" applyFont="1">
      <alignment horizontal="left" vertical="center"/>
    </xf>
    <xf borderId="8" fillId="7" fontId="13" numFmtId="0" xfId="0" applyAlignment="1" applyBorder="1" applyFill="1" applyFont="1">
      <alignment horizontal="left" vertical="center"/>
    </xf>
    <xf borderId="8" fillId="2" fontId="13" numFmtId="164" xfId="0" applyBorder="1" applyFill="1" applyFont="1" applyNumberFormat="1"/>
    <xf borderId="1" fillId="2" fontId="1" numFmtId="0" xfId="0" applyAlignment="1" applyBorder="1" applyFill="1" applyFont="1">
      <alignment vertical="center"/>
    </xf>
    <xf borderId="3" fillId="2" fontId="14" numFmtId="0" xfId="0" applyAlignment="1" applyBorder="1" applyFill="1" applyFont="1">
      <alignment readingOrder="0" shrinkToFit="0" vertical="center" wrapText="1"/>
    </xf>
    <xf borderId="13" fillId="0" fontId="6" numFmtId="0" xfId="0" applyBorder="1" applyFont="1"/>
    <xf borderId="14" fillId="0" fontId="6" numFmtId="0" xfId="0" applyBorder="1" applyFont="1"/>
    <xf borderId="1" fillId="5" fontId="10" numFmtId="0" xfId="0" applyAlignment="1" applyBorder="1" applyFill="1" applyFont="1">
      <alignment horizontal="left" shrinkToFit="0" vertical="center" wrapText="1"/>
    </xf>
    <xf borderId="1" fillId="5" fontId="10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center"/>
    </xf>
    <xf borderId="12" fillId="6" fontId="11" numFmtId="0" xfId="0" applyBorder="1" applyFill="1" applyFont="1"/>
    <xf borderId="12" fillId="6" fontId="1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62.0"/>
    <col customWidth="1" min="2" max="2" width="7.86"/>
    <col customWidth="1" min="3" max="3" width="11.71"/>
    <col customWidth="1" min="4" max="4" width="9.71"/>
    <col customWidth="1" min="5" max="5" width="4.29"/>
    <col customWidth="1" min="6" max="7" width="11.43"/>
    <col customWidth="1" min="8" max="8" width="20.57"/>
    <col customWidth="1" min="9" max="9" width="38.0"/>
    <col customWidth="1" min="10" max="10" width="17.57"/>
    <col customWidth="1" min="11" max="23" width="11.43"/>
  </cols>
  <sheetData>
    <row r="1" ht="14.25" customHeight="1">
      <c r="A1" s="2"/>
      <c r="B1" s="3"/>
      <c r="C1" s="5"/>
      <c r="D1" s="5"/>
      <c r="E1" s="5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.25" customHeight="1">
      <c r="A2" s="8" t="s">
        <v>1</v>
      </c>
      <c r="B2" s="10"/>
      <c r="C2" s="10"/>
      <c r="D2" s="10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7.25" customHeight="1">
      <c r="A3" s="14"/>
      <c r="B3" s="15"/>
      <c r="C3" s="15"/>
      <c r="D3" s="15"/>
      <c r="E3" s="16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ht="17.25" customHeight="1">
      <c r="A4" s="22" t="s">
        <v>12</v>
      </c>
      <c r="B4" s="23"/>
      <c r="C4" s="24" t="s">
        <v>13</v>
      </c>
      <c r="D4" s="9"/>
      <c r="E4" s="11"/>
      <c r="F4" s="17"/>
      <c r="G4" s="26" t="s">
        <v>14</v>
      </c>
      <c r="H4" s="9"/>
      <c r="I4" s="11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ht="14.25" customHeight="1">
      <c r="A5" s="27" t="s">
        <v>15</v>
      </c>
      <c r="B5" s="28" t="s">
        <v>16</v>
      </c>
      <c r="C5" s="28" t="s">
        <v>9</v>
      </c>
      <c r="D5" s="28" t="s">
        <v>17</v>
      </c>
      <c r="E5" s="28" t="s">
        <v>18</v>
      </c>
      <c r="F5" s="2"/>
      <c r="G5" s="29" t="s">
        <v>2</v>
      </c>
      <c r="H5" s="29" t="s">
        <v>3</v>
      </c>
      <c r="I5" s="29" t="s">
        <v>21</v>
      </c>
      <c r="J5" s="29" t="s">
        <v>22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14.25" customHeight="1" outlineLevel="1">
      <c r="A6" s="30" t="s">
        <v>23</v>
      </c>
      <c r="B6" s="31"/>
      <c r="C6" s="31"/>
      <c r="D6" s="31"/>
      <c r="E6" s="31"/>
      <c r="F6" s="2"/>
      <c r="G6" s="32" t="s">
        <v>9</v>
      </c>
      <c r="H6" s="32" t="s">
        <v>25</v>
      </c>
      <c r="I6" s="32" t="s">
        <v>26</v>
      </c>
      <c r="J6" s="33">
        <f>'ANALISIS INGRESOS'!G6</f>
        <v>9956.911111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14.25" customHeight="1" outlineLevel="1">
      <c r="A7" s="34" t="s">
        <v>27</v>
      </c>
      <c r="B7" s="36">
        <v>0.25</v>
      </c>
      <c r="C7" s="37">
        <v>3.0</v>
      </c>
      <c r="D7" s="37">
        <v>3.0</v>
      </c>
      <c r="E7" s="37">
        <v>3.0</v>
      </c>
      <c r="F7" s="2"/>
      <c r="G7" s="32" t="s">
        <v>19</v>
      </c>
      <c r="H7" s="32" t="s">
        <v>29</v>
      </c>
      <c r="I7" s="32" t="s">
        <v>31</v>
      </c>
      <c r="J7" s="33">
        <f>'ANALISIS INGRESOS'!G7</f>
        <v>9956.911111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14.25" customHeight="1" outlineLevel="1">
      <c r="A8" s="34" t="s">
        <v>32</v>
      </c>
      <c r="B8" s="36">
        <v>0.25</v>
      </c>
      <c r="C8" s="37">
        <v>3.0</v>
      </c>
      <c r="D8" s="37">
        <v>3.0</v>
      </c>
      <c r="E8" s="37">
        <v>3.0</v>
      </c>
      <c r="F8" s="2"/>
      <c r="G8" s="32" t="s">
        <v>18</v>
      </c>
      <c r="H8" s="32" t="s">
        <v>24</v>
      </c>
      <c r="I8" s="32" t="s">
        <v>34</v>
      </c>
      <c r="J8" s="33">
        <f>'ANALISIS INGRESOS'!G8</f>
        <v>7376.972222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14.25" customHeight="1" outlineLevel="1">
      <c r="A9" s="30" t="s">
        <v>35</v>
      </c>
      <c r="B9" s="31"/>
      <c r="C9" s="31"/>
      <c r="D9" s="31"/>
      <c r="E9" s="3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14.25" customHeight="1" outlineLevel="1">
      <c r="A10" s="34" t="s">
        <v>37</v>
      </c>
      <c r="B10" s="36">
        <v>0.5</v>
      </c>
      <c r="C10" s="36">
        <v>2.0</v>
      </c>
      <c r="D10" s="36">
        <v>4.0</v>
      </c>
      <c r="E10" s="36">
        <v>1.0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14.25" customHeight="1" outlineLevel="1">
      <c r="A11" s="34" t="s">
        <v>41</v>
      </c>
      <c r="B11" s="36">
        <v>0.5</v>
      </c>
      <c r="C11" s="36">
        <v>2.0</v>
      </c>
      <c r="D11" s="36">
        <v>2.0</v>
      </c>
      <c r="E11" s="36">
        <v>1.0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14.25" customHeight="1" outlineLevel="1">
      <c r="A12" s="30" t="s">
        <v>43</v>
      </c>
      <c r="B12" s="41"/>
      <c r="C12" s="41"/>
      <c r="D12" s="41"/>
      <c r="E12" s="4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14.25" customHeight="1" outlineLevel="1">
      <c r="A13" s="34" t="s">
        <v>44</v>
      </c>
      <c r="B13" s="36">
        <v>1.0</v>
      </c>
      <c r="C13" s="37">
        <v>6.0</v>
      </c>
      <c r="D13" s="36">
        <v>6.0</v>
      </c>
      <c r="E13" s="36">
        <v>1.0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14.25" customHeight="1">
      <c r="A14" s="34" t="s">
        <v>46</v>
      </c>
      <c r="B14" s="36">
        <v>0.5</v>
      </c>
      <c r="C14" s="37">
        <v>6.0</v>
      </c>
      <c r="D14" s="37">
        <v>6.0</v>
      </c>
      <c r="E14" s="36">
        <v>2.0</v>
      </c>
      <c r="F14" s="2"/>
      <c r="G14" s="2"/>
      <c r="H14" s="2"/>
      <c r="I14" s="43" t="s">
        <v>47</v>
      </c>
      <c r="J14" s="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14.25" customHeight="1" outlineLevel="1">
      <c r="A15" s="34" t="s">
        <v>48</v>
      </c>
      <c r="B15" s="36">
        <v>0.5</v>
      </c>
      <c r="C15" s="37">
        <v>3.0</v>
      </c>
      <c r="D15" s="37">
        <v>3.0</v>
      </c>
      <c r="E15" s="37">
        <v>3.0</v>
      </c>
      <c r="F15" s="2"/>
      <c r="G15" s="2"/>
      <c r="H15" s="2"/>
      <c r="I15" s="44" t="s">
        <v>49</v>
      </c>
      <c r="J15" s="33">
        <f>SUM(C7:C8,C10:C11,C13:C15,C17:C19,C21:C23,C25:C26)*$J$6+SUM(D7:D8,D10:D11,D13:D15,D17:D19,D21:D23,D25:D26)*$J$7+SUM(E7:E8,E10:E11,E13:E15,E17:E19,E21:E23,E25:E26)*$J$8</f>
        <v>1756527.728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14.25" customHeight="1" outlineLevel="1">
      <c r="A16" s="30" t="s">
        <v>50</v>
      </c>
      <c r="B16" s="31"/>
      <c r="C16" s="31"/>
      <c r="D16" s="31"/>
      <c r="E16" s="31"/>
      <c r="F16" s="2"/>
      <c r="G16" s="2"/>
      <c r="H16" s="2"/>
      <c r="I16" s="44" t="s">
        <v>51</v>
      </c>
      <c r="J16" s="33">
        <f>SUM(C29:C31,C33:C35,C37:C39,C41:C43)*$J$6+SUM(D29:D31,D33:D35,D37:D39,D41:D43)*$J$7+SUM(E29:E31,E33:E35,E37:E39,E41:E43)*$J$8</f>
        <v>816909.6111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4.25" customHeight="1" outlineLevel="2">
      <c r="A17" s="34" t="s">
        <v>52</v>
      </c>
      <c r="B17" s="36">
        <v>1.0</v>
      </c>
      <c r="C17" s="36">
        <v>0.0</v>
      </c>
      <c r="D17" s="37">
        <v>6.0</v>
      </c>
      <c r="E17" s="36">
        <v>2.0</v>
      </c>
      <c r="F17" s="2"/>
      <c r="G17" s="2"/>
      <c r="H17" s="2"/>
      <c r="I17" s="45" t="s">
        <v>53</v>
      </c>
      <c r="J17" s="33">
        <f>SUM(C46:C48,C50:C52,C54:C56,C58:C60,C62:C63,C65:C67,C69:C71,C73:C75,C77:C78,C80:C82,C84:C85)*$J$6+SUM(D46:D48,D50:D52,D54:D56,D58:D60,D62:D63,D65:D67,D69:D71,D73:D75,D77:D78,D80:D82,D84:D85)*$J$7+SUM(E46:E48,E50:E52,E54:E56,E58:E60,E62:E63,E65:E67,E69:E71,E73:E75,E77:E78,E80:E82,E84:E85)*$J$8</f>
        <v>2106308.289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14.25" customHeight="1" outlineLevel="2">
      <c r="A18" s="34" t="s">
        <v>55</v>
      </c>
      <c r="B18" s="37">
        <v>3.0</v>
      </c>
      <c r="C18" s="37">
        <v>4.0</v>
      </c>
      <c r="D18" s="37">
        <v>18.0</v>
      </c>
      <c r="E18" s="37">
        <v>6.0</v>
      </c>
      <c r="F18" s="2"/>
      <c r="G18" s="2"/>
      <c r="H18" s="2"/>
      <c r="I18" s="44" t="s">
        <v>56</v>
      </c>
      <c r="J18" s="33">
        <f>SUM(C88:C89,C91:C92,C94:C95,C97:C98,C100:C101,C103:C104,C106:C107)*$J$6+SUM(D88:D89,D91:D92,D94:D95,D97:D98,D100:D101,D103:D104,D106:D107)*$J$7+SUM(E88:E89,E91:E92,E94:E95,E97:E98,E100:E101,E103:E104,E106:E107)*$J$8</f>
        <v>1003873.828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14.25" customHeight="1" outlineLevel="1">
      <c r="A19" s="34" t="s">
        <v>57</v>
      </c>
      <c r="B19" s="36">
        <v>0.5</v>
      </c>
      <c r="C19" s="37">
        <v>3.0</v>
      </c>
      <c r="D19" s="37">
        <v>4.0</v>
      </c>
      <c r="E19" s="36">
        <v>1.0</v>
      </c>
      <c r="F19" s="2"/>
      <c r="G19" s="2"/>
      <c r="H19" s="2"/>
      <c r="I19" s="46" t="s">
        <v>58</v>
      </c>
      <c r="J19" s="47">
        <f>SUM(J15:J18)</f>
        <v>5683619.456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4.25" customHeight="1" outlineLevel="2">
      <c r="A20" s="30" t="s">
        <v>59</v>
      </c>
      <c r="B20" s="31"/>
      <c r="C20" s="31"/>
      <c r="D20" s="31"/>
      <c r="E20" s="3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4.25" customHeight="1" outlineLevel="2">
      <c r="A21" s="34" t="s">
        <v>60</v>
      </c>
      <c r="B21" s="37">
        <v>2.0</v>
      </c>
      <c r="C21" s="37">
        <v>8.0</v>
      </c>
      <c r="D21" s="37">
        <v>12.0</v>
      </c>
      <c r="E21" s="37">
        <v>2.0</v>
      </c>
      <c r="F21" s="2"/>
      <c r="G21" s="2"/>
      <c r="H21" s="2"/>
      <c r="I21" s="43" t="s">
        <v>61</v>
      </c>
      <c r="J21" s="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4.25" customHeight="1" outlineLevel="1">
      <c r="A22" s="34" t="s">
        <v>62</v>
      </c>
      <c r="B22" s="37">
        <v>2.0</v>
      </c>
      <c r="C22" s="37">
        <v>6.0</v>
      </c>
      <c r="D22" s="37">
        <v>10.0</v>
      </c>
      <c r="E22" s="37">
        <v>6.0</v>
      </c>
      <c r="F22" s="2"/>
      <c r="G22" s="2"/>
      <c r="H22" s="2"/>
      <c r="I22" s="32" t="s">
        <v>25</v>
      </c>
      <c r="J22" s="33">
        <f>SUM(C7:C8,C10:C11,C13:C15,C17:C19,C21:C23,C25:C26,C29:C31,C33:C35,C37:C39,C41:C43,C46:C48,C50:C52,C54:C56,C58:C60,C62:C63,C65:C67,C69:C71,C73:C75,C77:C78,C80:C82,C84:C85,C88:C89,C91:C92,C94:C95,C97:C98,C100:C101,C103:C104,C106:C107)*$J$6</f>
        <v>1543321.222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4.25" customHeight="1" outlineLevel="2">
      <c r="A23" s="34" t="s">
        <v>63</v>
      </c>
      <c r="B23" s="37">
        <v>2.0</v>
      </c>
      <c r="C23" s="37">
        <v>6.0</v>
      </c>
      <c r="D23" s="37">
        <v>6.0</v>
      </c>
      <c r="E23" s="37">
        <v>4.0</v>
      </c>
      <c r="F23" s="2"/>
      <c r="G23" s="2"/>
      <c r="H23" s="2"/>
      <c r="I23" s="32" t="s">
        <v>29</v>
      </c>
      <c r="J23" s="33">
        <f>SUM(D7:D8,D10:D11,D13:D15,D17:D19,D21:D23,D25:D26,D29:D31,D33:D35,D37:D39,D41:D43,D46:D48,D50:D52,D54:D56,D58:D60,D62:D63,D65:D67,D69:D71,D73:D75,D77:D78,D80:D82,D84:D85,D88:D89,D91:D92,D94:D95,D97:D98,D100:D101,D103:D104,D106:D107)*$J$7</f>
        <v>1971468.4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4.25" customHeight="1" outlineLevel="2">
      <c r="A24" s="30" t="s">
        <v>64</v>
      </c>
      <c r="B24" s="31"/>
      <c r="C24" s="31"/>
      <c r="D24" s="31"/>
      <c r="E24" s="31"/>
      <c r="F24" s="2"/>
      <c r="G24" s="2"/>
      <c r="H24" s="2"/>
      <c r="I24" s="32" t="s">
        <v>24</v>
      </c>
      <c r="J24" s="33">
        <f>SUM(E7:E8,E10:E11,E13:E15,E17:E19,E21:E23,E25:E26,E29:E31,E33:E35,E37:E39,E41:E43,E46:E48,E50:E52,E54:E56,E58:E60,E62:E63,E65:E67,E69:E71,E73:E75,E77:E78,E80:E82,E84:E85,E88:E89,E91:E92,E94:E95,E97:E98,E100:E101,E103:E104,E106:E107)*$J$8</f>
        <v>2168829.833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4.25" customHeight="1" outlineLevel="2">
      <c r="A25" s="34" t="s">
        <v>65</v>
      </c>
      <c r="B25" s="36">
        <v>1.0</v>
      </c>
      <c r="C25" s="36">
        <v>6.0</v>
      </c>
      <c r="D25" s="36">
        <v>2.0</v>
      </c>
      <c r="E25" s="36">
        <v>1.0</v>
      </c>
      <c r="F25" s="2"/>
      <c r="G25" s="2"/>
      <c r="H25" s="2"/>
      <c r="I25" s="48" t="s">
        <v>66</v>
      </c>
      <c r="J25" s="47">
        <f>SUM(J22:J24)</f>
        <v>5683619.456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4.25" customHeight="1" outlineLevel="1">
      <c r="A26" s="34" t="s">
        <v>67</v>
      </c>
      <c r="B26" s="36">
        <v>1.0</v>
      </c>
      <c r="C26" s="36">
        <v>4.0</v>
      </c>
      <c r="D26" s="36">
        <v>2.0</v>
      </c>
      <c r="E26" s="36">
        <v>1.0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4.25" customHeight="1" outlineLevel="2">
      <c r="A27" s="49" t="s">
        <v>68</v>
      </c>
      <c r="B27" s="50" t="s">
        <v>16</v>
      </c>
      <c r="C27" s="28" t="s">
        <v>9</v>
      </c>
      <c r="D27" s="28" t="s">
        <v>17</v>
      </c>
      <c r="E27" s="28" t="s">
        <v>18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4.25" customHeight="1" outlineLevel="2">
      <c r="A28" s="30" t="s">
        <v>69</v>
      </c>
      <c r="B28" s="31"/>
      <c r="C28" s="31"/>
      <c r="D28" s="31"/>
      <c r="E28" s="3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4.25" customHeight="1" outlineLevel="1">
      <c r="A29" s="34" t="s">
        <v>70</v>
      </c>
      <c r="B29" s="36">
        <v>1.0</v>
      </c>
      <c r="C29" s="37">
        <v>6.0</v>
      </c>
      <c r="D29" s="37">
        <v>8.0</v>
      </c>
      <c r="E29" s="37">
        <v>10.0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4.25" customHeight="1" outlineLevel="2">
      <c r="A30" s="34" t="s">
        <v>71</v>
      </c>
      <c r="B30" s="36">
        <v>1.0</v>
      </c>
      <c r="C30" s="37">
        <v>3.0</v>
      </c>
      <c r="D30" s="37">
        <v>4.0</v>
      </c>
      <c r="E30" s="37">
        <v>5.0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4.25" customHeight="1" outlineLevel="2">
      <c r="A31" s="34" t="s">
        <v>72</v>
      </c>
      <c r="B31" s="36">
        <v>1.0</v>
      </c>
      <c r="C31" s="36">
        <v>1.0</v>
      </c>
      <c r="D31" s="36">
        <v>2.0</v>
      </c>
      <c r="E31" s="36">
        <v>3.0</v>
      </c>
      <c r="F31" s="2"/>
      <c r="G31" s="2"/>
      <c r="H31" s="2"/>
      <c r="I31" s="39" t="s">
        <v>73</v>
      </c>
      <c r="J31" s="5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4.25" customHeight="1" outlineLevel="2">
      <c r="A32" s="30" t="s">
        <v>74</v>
      </c>
      <c r="B32" s="31"/>
      <c r="C32" s="31"/>
      <c r="D32" s="31"/>
      <c r="E32" s="31"/>
      <c r="F32" s="2"/>
      <c r="G32" s="2"/>
      <c r="H32" s="2"/>
      <c r="I32" s="52" t="s">
        <v>75</v>
      </c>
      <c r="J32" s="33">
        <f>SUM(C46:C48)*$J$6+SUM(D46:D48)*$J$7+SUM(E46:E48)*$J$8</f>
        <v>143105.2556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4.25" customHeight="1" outlineLevel="1">
      <c r="A33" s="34" t="s">
        <v>76</v>
      </c>
      <c r="B33" s="36">
        <v>1.0</v>
      </c>
      <c r="C33" s="36">
        <v>0.0</v>
      </c>
      <c r="D33" s="37">
        <v>2.0</v>
      </c>
      <c r="E33" s="37">
        <v>8.0</v>
      </c>
      <c r="F33" s="2"/>
      <c r="G33" s="2"/>
      <c r="H33" s="2"/>
      <c r="I33" s="52" t="s">
        <v>77</v>
      </c>
      <c r="J33" s="33">
        <f>SUM(C50:C52)*$J$6+SUM(D50:D52)*$J$7+SUM(E50:E52)*$J$8</f>
        <v>138308.2222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4.25" customHeight="1" outlineLevel="1">
      <c r="A34" s="34" t="s">
        <v>78</v>
      </c>
      <c r="B34" s="36">
        <v>0.5</v>
      </c>
      <c r="C34" s="36">
        <v>1.0</v>
      </c>
      <c r="D34" s="36">
        <v>2.0</v>
      </c>
      <c r="E34" s="36">
        <v>4.0</v>
      </c>
      <c r="F34" s="2"/>
      <c r="G34" s="2"/>
      <c r="H34" s="2"/>
      <c r="I34" s="52" t="s">
        <v>79</v>
      </c>
      <c r="J34" s="33">
        <f>SUM(C54:C56,C58:C60)*$J$6+SUM(D54:D56,D58:D60)*$J$7+SUM(E54:E56,E58:E60)*$J$8</f>
        <v>394648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4.25" customHeight="1" outlineLevel="1">
      <c r="A35" s="34" t="s">
        <v>80</v>
      </c>
      <c r="B35" s="36">
        <v>0.5</v>
      </c>
      <c r="C35" s="36">
        <v>1.0</v>
      </c>
      <c r="D35" s="36">
        <v>1.0</v>
      </c>
      <c r="E35" s="36">
        <v>2.0</v>
      </c>
      <c r="F35" s="2"/>
      <c r="G35" s="2"/>
      <c r="H35" s="2"/>
      <c r="I35" s="52" t="s">
        <v>81</v>
      </c>
      <c r="J35" s="33">
        <f>SUM(C62:C63)*$J$6+SUM(D62:D63)*$J$7+SUM(E62:E63)*$J$8</f>
        <v>143105.2556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4.25" customHeight="1" outlineLevel="1">
      <c r="A36" s="30" t="s">
        <v>82</v>
      </c>
      <c r="B36" s="31"/>
      <c r="C36" s="31"/>
      <c r="D36" s="31"/>
      <c r="E36" s="31"/>
      <c r="F36" s="2"/>
      <c r="G36" s="2"/>
      <c r="H36" s="2"/>
      <c r="I36" s="52" t="s">
        <v>83</v>
      </c>
      <c r="J36" s="33">
        <f>SUM(C65:C67)*$J$6+SUM(D65:D67)*$J$7+SUM(E65:E67)*$J$8</f>
        <v>157859.2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4.25" customHeight="1" outlineLevel="1">
      <c r="A37" s="34" t="s">
        <v>84</v>
      </c>
      <c r="B37" s="36">
        <v>0.5</v>
      </c>
      <c r="C37" s="36">
        <v>1.0</v>
      </c>
      <c r="D37" s="36">
        <v>1.0</v>
      </c>
      <c r="E37" s="36">
        <v>4.0</v>
      </c>
      <c r="F37" s="2"/>
      <c r="G37" s="2"/>
      <c r="H37" s="2"/>
      <c r="I37" s="52" t="s">
        <v>85</v>
      </c>
      <c r="J37" s="33">
        <f>SUM(C69:C71)*$J$6+SUM(D69:D71)*$J$7+SUM(E69:E71)*$J$8</f>
        <v>197324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4.25" customHeight="1" outlineLevel="1">
      <c r="A38" s="34" t="s">
        <v>86</v>
      </c>
      <c r="B38" s="36">
        <v>1.0</v>
      </c>
      <c r="C38" s="36">
        <v>1.0</v>
      </c>
      <c r="D38" s="36">
        <v>2.0</v>
      </c>
      <c r="E38" s="36">
        <v>4.0</v>
      </c>
      <c r="F38" s="2"/>
      <c r="G38" s="2"/>
      <c r="H38" s="2"/>
      <c r="I38" s="52" t="s">
        <v>87</v>
      </c>
      <c r="J38" s="33">
        <f>SUM(C73:C75,C77:C78)*$J$6+SUM(D73:D75,D77:D78)*$J$7+SUM(E73:E75,E77:E78)*$J$8</f>
        <v>296167.4222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4.25" customHeight="1">
      <c r="A39" s="34" t="s">
        <v>88</v>
      </c>
      <c r="B39" s="36">
        <v>0.5</v>
      </c>
      <c r="C39" s="36">
        <v>0.0</v>
      </c>
      <c r="D39" s="36">
        <v>1.0</v>
      </c>
      <c r="E39" s="36">
        <v>2.0</v>
      </c>
      <c r="F39" s="2"/>
      <c r="G39" s="2"/>
      <c r="H39" s="2"/>
      <c r="I39" s="52" t="s">
        <v>89</v>
      </c>
      <c r="J39" s="33">
        <f>SUM(C80:C82,C84:C85)*$J$6+SUM(D80:D82,D84:D85)*$J$7+SUM(E80:E82,E84:E85)*$J$8</f>
        <v>635790.9333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4.25" customHeight="1" outlineLevel="1">
      <c r="A40" s="30" t="s">
        <v>90</v>
      </c>
      <c r="B40" s="41"/>
      <c r="C40" s="41"/>
      <c r="D40" s="41"/>
      <c r="E40" s="41"/>
      <c r="F40" s="2"/>
      <c r="G40" s="2"/>
      <c r="H40" s="2"/>
      <c r="I40" s="53" t="s">
        <v>91</v>
      </c>
      <c r="J40" s="54">
        <f>SUM(J32:J39)</f>
        <v>2106308.289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4.25" customHeight="1" outlineLevel="1">
      <c r="A41" s="34" t="s">
        <v>92</v>
      </c>
      <c r="B41" s="36">
        <v>0.5</v>
      </c>
      <c r="C41" s="36">
        <v>1.0</v>
      </c>
      <c r="D41" s="36">
        <v>2.0</v>
      </c>
      <c r="E41" s="36">
        <v>3.0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4.25" customHeight="1" outlineLevel="1">
      <c r="A42" s="34" t="s">
        <v>93</v>
      </c>
      <c r="B42" s="36">
        <v>1.0</v>
      </c>
      <c r="C42" s="36">
        <v>1.0</v>
      </c>
      <c r="D42" s="36">
        <v>2.0</v>
      </c>
      <c r="E42" s="36">
        <v>3.0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4.25" customHeight="1" outlineLevel="1">
      <c r="A43" s="34" t="s">
        <v>94</v>
      </c>
      <c r="B43" s="36">
        <v>0.5</v>
      </c>
      <c r="C43" s="36">
        <v>0.0</v>
      </c>
      <c r="D43" s="36">
        <v>2.0</v>
      </c>
      <c r="E43" s="36">
        <v>2.0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4.25" customHeight="1" outlineLevel="1">
      <c r="A44" s="27" t="s">
        <v>95</v>
      </c>
      <c r="B44" s="28" t="s">
        <v>16</v>
      </c>
      <c r="C44" s="28" t="s">
        <v>9</v>
      </c>
      <c r="D44" s="28" t="s">
        <v>17</v>
      </c>
      <c r="E44" s="28" t="s">
        <v>18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4.25" customHeight="1" outlineLevel="1">
      <c r="A45" s="30" t="s">
        <v>96</v>
      </c>
      <c r="B45" s="41"/>
      <c r="C45" s="41"/>
      <c r="D45" s="41"/>
      <c r="E45" s="4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4.25" customHeight="1" outlineLevel="1">
      <c r="A46" s="34" t="s">
        <v>97</v>
      </c>
      <c r="B46" s="36">
        <v>0.5</v>
      </c>
      <c r="C46" s="37">
        <v>2.0</v>
      </c>
      <c r="D46" s="36">
        <v>0.0</v>
      </c>
      <c r="E46" s="37">
        <v>6.0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4.25" customHeight="1" outlineLevel="1">
      <c r="A47" s="34" t="s">
        <v>98</v>
      </c>
      <c r="B47" s="36">
        <v>1.0</v>
      </c>
      <c r="C47" s="36">
        <v>0.0</v>
      </c>
      <c r="D47" s="36">
        <v>0.0</v>
      </c>
      <c r="E47" s="36">
        <v>5.0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4.25" customHeight="1" outlineLevel="1">
      <c r="A48" s="34" t="s">
        <v>99</v>
      </c>
      <c r="B48" s="36">
        <v>0.5</v>
      </c>
      <c r="C48" s="36">
        <v>1.0</v>
      </c>
      <c r="D48" s="36">
        <v>1.0</v>
      </c>
      <c r="E48" s="36">
        <v>3.0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4.25" customHeight="1" outlineLevel="1">
      <c r="A49" s="30" t="s">
        <v>100</v>
      </c>
      <c r="B49" s="41"/>
      <c r="C49" s="41"/>
      <c r="D49" s="41"/>
      <c r="E49" s="4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36.0" customHeight="1">
      <c r="A50" s="34" t="s">
        <v>101</v>
      </c>
      <c r="B50" s="36">
        <v>0.5</v>
      </c>
      <c r="C50" s="36">
        <v>0.0</v>
      </c>
      <c r="D50" s="36">
        <v>1.0</v>
      </c>
      <c r="E50" s="36">
        <v>5.0</v>
      </c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</row>
    <row r="51" ht="14.25" customHeight="1">
      <c r="A51" s="34" t="s">
        <v>102</v>
      </c>
      <c r="B51" s="36">
        <v>1.0</v>
      </c>
      <c r="C51" s="36">
        <v>1.0</v>
      </c>
      <c r="D51" s="36">
        <v>1.0</v>
      </c>
      <c r="E51" s="36">
        <v>5.0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4.25" customHeight="1">
      <c r="A52" s="34" t="s">
        <v>103</v>
      </c>
      <c r="B52" s="36">
        <v>0.5</v>
      </c>
      <c r="C52" s="36">
        <v>1.0</v>
      </c>
      <c r="D52" s="36">
        <v>1.0</v>
      </c>
      <c r="E52" s="36">
        <v>2.0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4.25" customHeight="1">
      <c r="A53" s="30" t="s">
        <v>104</v>
      </c>
      <c r="B53" s="41"/>
      <c r="C53" s="41"/>
      <c r="D53" s="41"/>
      <c r="E53" s="4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4.25" customHeight="1">
      <c r="A54" s="34" t="s">
        <v>105</v>
      </c>
      <c r="B54" s="36">
        <v>1.0</v>
      </c>
      <c r="C54" s="36">
        <v>0.0</v>
      </c>
      <c r="D54" s="36">
        <v>1.0</v>
      </c>
      <c r="E54" s="36">
        <v>6.0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4.25" customHeight="1">
      <c r="A55" s="34" t="s">
        <v>106</v>
      </c>
      <c r="B55" s="36">
        <v>0.5</v>
      </c>
      <c r="C55" s="36">
        <v>0.0</v>
      </c>
      <c r="D55" s="36">
        <v>1.0</v>
      </c>
      <c r="E55" s="36">
        <v>6.0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4.25" customHeight="1">
      <c r="A56" s="34" t="s">
        <v>107</v>
      </c>
      <c r="B56" s="36">
        <v>0.5</v>
      </c>
      <c r="C56" s="36">
        <v>1.0</v>
      </c>
      <c r="D56" s="36">
        <v>1.0</v>
      </c>
      <c r="E56" s="36">
        <v>4.0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4.25" customHeight="1">
      <c r="A57" s="30" t="s">
        <v>108</v>
      </c>
      <c r="B57" s="41"/>
      <c r="C57" s="41"/>
      <c r="D57" s="41"/>
      <c r="E57" s="4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4.25" customHeight="1">
      <c r="A58" s="34" t="s">
        <v>109</v>
      </c>
      <c r="B58" s="36">
        <v>1.5</v>
      </c>
      <c r="C58" s="36">
        <v>1.0</v>
      </c>
      <c r="D58" s="36">
        <v>1.0</v>
      </c>
      <c r="E58" s="36">
        <v>8.0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4.25" customHeight="1">
      <c r="A59" s="34" t="s">
        <v>110</v>
      </c>
      <c r="B59" s="36">
        <v>1.5</v>
      </c>
      <c r="C59" s="36">
        <v>0.0</v>
      </c>
      <c r="D59" s="36">
        <v>1.0</v>
      </c>
      <c r="E59" s="36">
        <v>8.0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4.25" customHeight="1">
      <c r="A60" s="34" t="s">
        <v>111</v>
      </c>
      <c r="B60" s="36">
        <v>1.0</v>
      </c>
      <c r="C60" s="36">
        <v>1.0</v>
      </c>
      <c r="D60" s="36">
        <v>2.0</v>
      </c>
      <c r="E60" s="36">
        <v>8.0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4.25" customHeight="1">
      <c r="A61" s="30" t="s">
        <v>112</v>
      </c>
      <c r="B61" s="41"/>
      <c r="C61" s="41"/>
      <c r="D61" s="41"/>
      <c r="E61" s="4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4.25" customHeight="1">
      <c r="A62" s="34" t="s">
        <v>113</v>
      </c>
      <c r="B62" s="36">
        <v>1.0</v>
      </c>
      <c r="C62" s="36">
        <v>0.0</v>
      </c>
      <c r="D62" s="36">
        <v>1.0</v>
      </c>
      <c r="E62" s="36">
        <v>7.0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4.25" customHeight="1">
      <c r="A63" s="34" t="s">
        <v>114</v>
      </c>
      <c r="B63" s="36">
        <v>1.0</v>
      </c>
      <c r="C63" s="36">
        <v>1.0</v>
      </c>
      <c r="D63" s="36">
        <v>2.0</v>
      </c>
      <c r="E63" s="36">
        <v>7.0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4.25" customHeight="1">
      <c r="A64" s="30" t="s">
        <v>115</v>
      </c>
      <c r="B64" s="41"/>
      <c r="C64" s="41"/>
      <c r="D64" s="41"/>
      <c r="E64" s="4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4.25" customHeight="1">
      <c r="A65" s="34" t="s">
        <v>116</v>
      </c>
      <c r="B65" s="36">
        <v>1.0</v>
      </c>
      <c r="C65" s="36">
        <v>0.0</v>
      </c>
      <c r="D65" s="36">
        <v>1.0</v>
      </c>
      <c r="E65" s="36">
        <v>6.0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4.25" customHeight="1">
      <c r="A66" s="34" t="s">
        <v>117</v>
      </c>
      <c r="B66" s="36">
        <v>1.0</v>
      </c>
      <c r="C66" s="36">
        <v>1.0</v>
      </c>
      <c r="D66" s="36">
        <v>1.0</v>
      </c>
      <c r="E66" s="36">
        <v>6.0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4.25" customHeight="1">
      <c r="A67" s="34" t="s">
        <v>118</v>
      </c>
      <c r="B67" s="36">
        <v>1.0</v>
      </c>
      <c r="C67" s="36">
        <v>0.0</v>
      </c>
      <c r="D67" s="36">
        <v>1.0</v>
      </c>
      <c r="E67" s="36">
        <v>4.0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4.25" customHeight="1">
      <c r="A68" s="30" t="s">
        <v>119</v>
      </c>
      <c r="B68" s="41"/>
      <c r="C68" s="41"/>
      <c r="D68" s="41"/>
      <c r="E68" s="4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4.25" customHeight="1">
      <c r="A69" s="34" t="s">
        <v>120</v>
      </c>
      <c r="B69" s="36">
        <v>1.0</v>
      </c>
      <c r="C69" s="36">
        <v>0.0</v>
      </c>
      <c r="D69" s="36">
        <v>1.0</v>
      </c>
      <c r="E69" s="36">
        <v>6.0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4.25" customHeight="1">
      <c r="A70" s="34" t="s">
        <v>121</v>
      </c>
      <c r="B70" s="36">
        <v>1.0</v>
      </c>
      <c r="C70" s="36">
        <v>0.0</v>
      </c>
      <c r="D70" s="36">
        <v>1.0</v>
      </c>
      <c r="E70" s="36">
        <v>8.0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4.25" customHeight="1">
      <c r="A71" s="34" t="s">
        <v>122</v>
      </c>
      <c r="B71" s="36">
        <v>1.0</v>
      </c>
      <c r="C71" s="36">
        <v>1.0</v>
      </c>
      <c r="D71" s="36">
        <v>2.0</v>
      </c>
      <c r="E71" s="36">
        <v>6.0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4.25" customHeight="1">
      <c r="A72" s="30" t="s">
        <v>123</v>
      </c>
      <c r="B72" s="41"/>
      <c r="C72" s="41"/>
      <c r="D72" s="41"/>
      <c r="E72" s="4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4.25" customHeight="1">
      <c r="A73" s="34" t="s">
        <v>124</v>
      </c>
      <c r="B73" s="36">
        <v>1.0</v>
      </c>
      <c r="C73" s="36">
        <v>0.0</v>
      </c>
      <c r="D73" s="36">
        <v>1.0</v>
      </c>
      <c r="E73" s="36">
        <v>6.0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4.25" customHeight="1">
      <c r="A74" s="34" t="s">
        <v>125</v>
      </c>
      <c r="B74" s="36">
        <v>0.5</v>
      </c>
      <c r="C74" s="36">
        <v>1.0</v>
      </c>
      <c r="D74" s="36">
        <v>1.0</v>
      </c>
      <c r="E74" s="36">
        <v>4.0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4.25" customHeight="1">
      <c r="A75" s="34" t="s">
        <v>126</v>
      </c>
      <c r="B75" s="36">
        <v>0.5</v>
      </c>
      <c r="C75" s="36">
        <v>0.0</v>
      </c>
      <c r="D75" s="36">
        <v>1.0</v>
      </c>
      <c r="E75" s="36">
        <v>4.0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4.25" customHeight="1">
      <c r="A76" s="30" t="s">
        <v>127</v>
      </c>
      <c r="B76" s="41"/>
      <c r="C76" s="41"/>
      <c r="D76" s="41"/>
      <c r="E76" s="4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4.25" customHeight="1">
      <c r="A77" s="34" t="s">
        <v>128</v>
      </c>
      <c r="B77" s="36">
        <v>1.0</v>
      </c>
      <c r="C77" s="36">
        <v>0.0</v>
      </c>
      <c r="D77" s="36">
        <v>2.0</v>
      </c>
      <c r="E77" s="36">
        <v>6.0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4.25" customHeight="1">
      <c r="A78" s="34" t="s">
        <v>129</v>
      </c>
      <c r="B78" s="36">
        <v>1.0</v>
      </c>
      <c r="C78" s="36">
        <v>1.0</v>
      </c>
      <c r="D78" s="36">
        <v>2.0</v>
      </c>
      <c r="E78" s="36">
        <v>8.0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4.25" customHeight="1">
      <c r="A79" s="30" t="s">
        <v>130</v>
      </c>
      <c r="B79" s="41"/>
      <c r="C79" s="41"/>
      <c r="D79" s="41"/>
      <c r="E79" s="4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4.25" customHeight="1">
      <c r="A80" s="34" t="s">
        <v>131</v>
      </c>
      <c r="B80" s="36">
        <v>3.0</v>
      </c>
      <c r="C80" s="37">
        <v>12.0</v>
      </c>
      <c r="D80" s="37">
        <v>4.0</v>
      </c>
      <c r="E80" s="36">
        <v>2.0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4.25" customHeight="1">
      <c r="A81" s="34" t="s">
        <v>132</v>
      </c>
      <c r="B81" s="36">
        <v>3.0</v>
      </c>
      <c r="C81" s="37">
        <v>12.0</v>
      </c>
      <c r="D81" s="37">
        <v>4.0</v>
      </c>
      <c r="E81" s="36">
        <v>2.0</v>
      </c>
      <c r="F81" s="2"/>
      <c r="G81" s="2"/>
      <c r="H81" s="56"/>
      <c r="I81" s="10"/>
      <c r="J81" s="1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4.25" customHeight="1">
      <c r="A82" s="34" t="s">
        <v>133</v>
      </c>
      <c r="B82" s="36">
        <v>2.0</v>
      </c>
      <c r="C82" s="37">
        <v>12.0</v>
      </c>
      <c r="D82" s="37">
        <v>4.0</v>
      </c>
      <c r="E82" s="36">
        <v>2.0</v>
      </c>
      <c r="F82" s="2"/>
      <c r="G82" s="2"/>
      <c r="H82" s="57"/>
      <c r="J82" s="58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4.25" customHeight="1">
      <c r="A83" s="30" t="s">
        <v>134</v>
      </c>
      <c r="B83" s="41"/>
      <c r="C83" s="41"/>
      <c r="D83" s="41"/>
      <c r="E83" s="41"/>
      <c r="F83" s="2"/>
      <c r="G83" s="2"/>
      <c r="H83" s="57"/>
      <c r="J83" s="58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4.25" customHeight="1">
      <c r="A84" s="34" t="s">
        <v>135</v>
      </c>
      <c r="B84" s="36">
        <v>1.0</v>
      </c>
      <c r="C84" s="36">
        <v>1.0</v>
      </c>
      <c r="D84" s="36">
        <v>1.0</v>
      </c>
      <c r="E84" s="36">
        <v>6.0</v>
      </c>
      <c r="F84" s="2"/>
      <c r="G84" s="2"/>
      <c r="H84" s="57"/>
      <c r="J84" s="58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4.25" customHeight="1">
      <c r="A85" s="34" t="s">
        <v>136</v>
      </c>
      <c r="B85" s="36">
        <v>1.0</v>
      </c>
      <c r="C85" s="36">
        <v>1.0</v>
      </c>
      <c r="D85" s="36">
        <v>1.0</v>
      </c>
      <c r="E85" s="36">
        <v>4.0</v>
      </c>
      <c r="F85" s="2"/>
      <c r="G85" s="2"/>
      <c r="H85" s="57"/>
      <c r="J85" s="58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4.25" customHeight="1">
      <c r="A86" s="59" t="s">
        <v>137</v>
      </c>
      <c r="B86" s="60" t="s">
        <v>16</v>
      </c>
      <c r="C86" s="28" t="s">
        <v>9</v>
      </c>
      <c r="D86" s="28" t="s">
        <v>17</v>
      </c>
      <c r="E86" s="28" t="s">
        <v>18</v>
      </c>
      <c r="F86" s="2"/>
      <c r="G86" s="2"/>
      <c r="H86" s="57"/>
      <c r="J86" s="58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4.25" customHeight="1">
      <c r="A87" s="30" t="s">
        <v>138</v>
      </c>
      <c r="B87" s="41"/>
      <c r="C87" s="41"/>
      <c r="D87" s="41"/>
      <c r="E87" s="41"/>
      <c r="F87" s="2"/>
      <c r="G87" s="2"/>
      <c r="H87" s="57"/>
      <c r="J87" s="58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4.25" customHeight="1">
      <c r="A88" s="34" t="s">
        <v>139</v>
      </c>
      <c r="B88" s="36">
        <v>1.0</v>
      </c>
      <c r="C88" s="36">
        <v>1.0</v>
      </c>
      <c r="D88" s="36">
        <v>2.0</v>
      </c>
      <c r="E88" s="36">
        <v>5.0</v>
      </c>
      <c r="F88" s="2"/>
      <c r="G88" s="2"/>
      <c r="H88" s="57"/>
      <c r="J88" s="58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4.25" customHeight="1">
      <c r="A89" s="34" t="s">
        <v>140</v>
      </c>
      <c r="B89" s="36">
        <v>1.0</v>
      </c>
      <c r="C89" s="36">
        <v>1.0</v>
      </c>
      <c r="D89" s="36">
        <v>2.0</v>
      </c>
      <c r="E89" s="36">
        <v>3.0</v>
      </c>
      <c r="F89" s="2"/>
      <c r="G89" s="2"/>
      <c r="H89" s="57"/>
      <c r="J89" s="58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4.25" customHeight="1">
      <c r="A90" s="30" t="s">
        <v>141</v>
      </c>
      <c r="B90" s="41"/>
      <c r="C90" s="41"/>
      <c r="D90" s="41"/>
      <c r="E90" s="41"/>
      <c r="F90" s="2"/>
      <c r="G90" s="2"/>
      <c r="H90" s="14"/>
      <c r="I90" s="15"/>
      <c r="J90" s="1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4.25" customHeight="1">
      <c r="A91" s="34" t="s">
        <v>142</v>
      </c>
      <c r="B91" s="36">
        <v>1.0</v>
      </c>
      <c r="C91" s="36">
        <v>1.0</v>
      </c>
      <c r="D91" s="36">
        <v>2.0</v>
      </c>
      <c r="E91" s="36">
        <v>5.0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4.25" customHeight="1">
      <c r="A92" s="34" t="s">
        <v>143</v>
      </c>
      <c r="B92" s="36">
        <v>1.0</v>
      </c>
      <c r="C92" s="36">
        <v>1.0</v>
      </c>
      <c r="D92" s="36">
        <v>2.0</v>
      </c>
      <c r="E92" s="36">
        <v>3.0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4.25" customHeight="1">
      <c r="A93" s="30" t="s">
        <v>144</v>
      </c>
      <c r="B93" s="41"/>
      <c r="C93" s="41"/>
      <c r="D93" s="41"/>
      <c r="E93" s="4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4.25" customHeight="1">
      <c r="A94" s="34" t="s">
        <v>145</v>
      </c>
      <c r="B94" s="36">
        <v>1.0</v>
      </c>
      <c r="C94" s="36">
        <v>1.0</v>
      </c>
      <c r="D94" s="36">
        <v>2.0</v>
      </c>
      <c r="E94" s="36">
        <v>4.0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4.25" customHeight="1">
      <c r="A95" s="34" t="s">
        <v>146</v>
      </c>
      <c r="B95" s="36">
        <v>1.0</v>
      </c>
      <c r="C95" s="36">
        <v>1.0</v>
      </c>
      <c r="D95" s="36">
        <v>2.0</v>
      </c>
      <c r="E95" s="36">
        <v>4.0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4.25" customHeight="1">
      <c r="A96" s="30" t="s">
        <v>147</v>
      </c>
      <c r="B96" s="41"/>
      <c r="C96" s="41"/>
      <c r="D96" s="41"/>
      <c r="E96" s="4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4.25" customHeight="1">
      <c r="A97" s="34" t="s">
        <v>148</v>
      </c>
      <c r="B97" s="36">
        <v>1.0</v>
      </c>
      <c r="C97" s="36">
        <v>1.0</v>
      </c>
      <c r="D97" s="36">
        <v>2.0</v>
      </c>
      <c r="E97" s="36">
        <v>5.0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4.25" customHeight="1">
      <c r="A98" s="34" t="s">
        <v>149</v>
      </c>
      <c r="B98" s="36">
        <v>1.0</v>
      </c>
      <c r="C98" s="36">
        <v>1.0</v>
      </c>
      <c r="D98" s="36">
        <v>2.0</v>
      </c>
      <c r="E98" s="36">
        <v>3.0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4.25" customHeight="1">
      <c r="A99" s="30" t="s">
        <v>150</v>
      </c>
      <c r="B99" s="41"/>
      <c r="C99" s="41"/>
      <c r="D99" s="41"/>
      <c r="E99" s="4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4.25" customHeight="1">
      <c r="A100" s="34" t="s">
        <v>151</v>
      </c>
      <c r="B100" s="36">
        <v>0.5</v>
      </c>
      <c r="C100" s="36">
        <v>1.0</v>
      </c>
      <c r="D100" s="36">
        <v>4.0</v>
      </c>
      <c r="E100" s="36">
        <v>2.0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4.25" customHeight="1">
      <c r="A101" s="34" t="s">
        <v>152</v>
      </c>
      <c r="B101" s="36">
        <v>0.5</v>
      </c>
      <c r="C101" s="36">
        <v>1.0</v>
      </c>
      <c r="D101" s="36">
        <v>2.0</v>
      </c>
      <c r="E101" s="36">
        <v>2.0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4.25" customHeight="1">
      <c r="A102" s="30" t="s">
        <v>153</v>
      </c>
      <c r="B102" s="41"/>
      <c r="C102" s="41"/>
      <c r="D102" s="41"/>
      <c r="E102" s="4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4.25" customHeight="1">
      <c r="A103" s="34" t="s">
        <v>154</v>
      </c>
      <c r="B103" s="37">
        <v>1.0</v>
      </c>
      <c r="C103" s="37">
        <v>3.0</v>
      </c>
      <c r="D103" s="37">
        <v>8.0</v>
      </c>
      <c r="E103" s="37">
        <v>2.0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4.25" customHeight="1">
      <c r="A104" s="34" t="s">
        <v>155</v>
      </c>
      <c r="B104" s="37">
        <v>1.0</v>
      </c>
      <c r="C104" s="37">
        <v>2.0</v>
      </c>
      <c r="D104" s="37">
        <v>4.0</v>
      </c>
      <c r="E104" s="37">
        <v>2.0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4.25" customHeight="1">
      <c r="A105" s="30" t="s">
        <v>156</v>
      </c>
      <c r="B105" s="41"/>
      <c r="C105" s="41"/>
      <c r="D105" s="41"/>
      <c r="E105" s="4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4.25" customHeight="1">
      <c r="A106" s="34" t="s">
        <v>157</v>
      </c>
      <c r="B106" s="37">
        <v>3.0</v>
      </c>
      <c r="C106" s="37">
        <v>6.0</v>
      </c>
      <c r="D106" s="37">
        <v>3.0</v>
      </c>
      <c r="E106" s="37">
        <v>6.0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4.25" customHeight="1">
      <c r="A107" s="34" t="s">
        <v>158</v>
      </c>
      <c r="B107" s="36">
        <v>0.5</v>
      </c>
      <c r="C107" s="36">
        <v>5.0</v>
      </c>
      <c r="D107" s="36">
        <v>3.0</v>
      </c>
      <c r="E107" s="36">
        <v>1.0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4.25" customHeight="1">
      <c r="A108" s="35"/>
      <c r="B108" s="61"/>
      <c r="C108" s="61"/>
      <c r="D108" s="61"/>
      <c r="E108" s="6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4.25" customHeight="1">
      <c r="A109" s="62" t="s">
        <v>66</v>
      </c>
      <c r="B109" s="63">
        <f t="shared" ref="B109:E109" si="1">SUM(B7:B8,B10:B11,B13:B15,B17:B19,B21:B23,B25:B26,B29:B31,B33:B35,B37:B39,B41:B43,B46:B48,B50:B52,B54:B56,B58:B60,B62:B63,B65:B67,B69:B71,B73:B75,B77:B78,B80:B82,B84:B85,B88:B89,B91:B92,B94:B95,B97:B98,B100:B101,B103:B104,B106:B107)</f>
        <v>71.5</v>
      </c>
      <c r="C109" s="63">
        <f t="shared" si="1"/>
        <v>155</v>
      </c>
      <c r="D109" s="63">
        <f t="shared" si="1"/>
        <v>198</v>
      </c>
      <c r="E109" s="63">
        <f t="shared" si="1"/>
        <v>294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4.25" customHeight="1">
      <c r="A110" s="35"/>
      <c r="B110" s="61"/>
      <c r="C110" s="61"/>
      <c r="D110" s="61"/>
      <c r="E110" s="6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4.25" customHeight="1">
      <c r="A111" s="35"/>
      <c r="B111" s="61"/>
      <c r="C111" s="61"/>
      <c r="D111" s="61"/>
      <c r="E111" s="6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4.25" customHeight="1">
      <c r="A112" s="35"/>
      <c r="B112" s="61"/>
      <c r="C112" s="61"/>
      <c r="D112" s="61"/>
      <c r="E112" s="6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4.25" customHeight="1">
      <c r="A113" s="35"/>
      <c r="B113" s="61"/>
      <c r="C113" s="61"/>
      <c r="D113" s="61"/>
      <c r="E113" s="6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4.25" customHeight="1">
      <c r="A114" s="35"/>
      <c r="B114" s="61"/>
      <c r="C114" s="61"/>
      <c r="D114" s="61"/>
      <c r="E114" s="6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4.25" customHeight="1">
      <c r="A115" s="35"/>
      <c r="B115" s="61"/>
      <c r="C115" s="61"/>
      <c r="D115" s="61"/>
      <c r="E115" s="6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4.25" customHeight="1">
      <c r="A116" s="35"/>
      <c r="B116" s="61"/>
      <c r="C116" s="61"/>
      <c r="D116" s="61"/>
      <c r="E116" s="6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4.25" customHeight="1">
      <c r="A117" s="35"/>
      <c r="B117" s="61"/>
      <c r="C117" s="61"/>
      <c r="D117" s="61"/>
      <c r="E117" s="6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4.25" customHeight="1">
      <c r="A118" s="35"/>
      <c r="B118" s="61"/>
      <c r="C118" s="61"/>
      <c r="D118" s="61"/>
      <c r="E118" s="6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4.25" customHeight="1">
      <c r="A119" s="35"/>
      <c r="B119" s="61"/>
      <c r="C119" s="61"/>
      <c r="D119" s="61"/>
      <c r="E119" s="6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4.25" customHeight="1">
      <c r="A120" s="35"/>
      <c r="B120" s="61"/>
      <c r="C120" s="61"/>
      <c r="D120" s="61"/>
      <c r="E120" s="6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4.25" customHeight="1">
      <c r="A121" s="35"/>
      <c r="B121" s="61"/>
      <c r="C121" s="61"/>
      <c r="D121" s="61"/>
      <c r="E121" s="6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4.25" customHeight="1">
      <c r="A122" s="35"/>
      <c r="B122" s="61"/>
      <c r="C122" s="61"/>
      <c r="D122" s="61"/>
      <c r="E122" s="6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4.25" customHeight="1">
      <c r="A123" s="35"/>
      <c r="B123" s="61"/>
      <c r="C123" s="61"/>
      <c r="D123" s="61"/>
      <c r="E123" s="6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4.25" customHeight="1">
      <c r="A124" s="35"/>
      <c r="B124" s="61"/>
      <c r="C124" s="61"/>
      <c r="D124" s="61"/>
      <c r="E124" s="6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4.25" customHeight="1">
      <c r="A125" s="35"/>
      <c r="B125" s="61"/>
      <c r="C125" s="61"/>
      <c r="D125" s="61"/>
      <c r="E125" s="6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4.25" customHeight="1">
      <c r="A126" s="35"/>
      <c r="B126" s="61"/>
      <c r="C126" s="61"/>
      <c r="D126" s="61"/>
      <c r="E126" s="6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4.25" customHeight="1">
      <c r="A127" s="35"/>
      <c r="B127" s="61"/>
      <c r="C127" s="61"/>
      <c r="D127" s="61"/>
      <c r="E127" s="6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4.25" customHeight="1">
      <c r="A128" s="35"/>
      <c r="B128" s="61"/>
      <c r="C128" s="61"/>
      <c r="D128" s="61"/>
      <c r="E128" s="6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4.25" customHeight="1">
      <c r="A129" s="35"/>
      <c r="B129" s="61"/>
      <c r="C129" s="61"/>
      <c r="D129" s="61"/>
      <c r="E129" s="6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4.25" customHeight="1">
      <c r="A130" s="35"/>
      <c r="B130" s="61"/>
      <c r="C130" s="61"/>
      <c r="D130" s="61"/>
      <c r="E130" s="6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4.25" customHeight="1">
      <c r="A131" s="35"/>
      <c r="B131" s="61"/>
      <c r="C131" s="61"/>
      <c r="D131" s="61"/>
      <c r="E131" s="6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4.25" customHeight="1">
      <c r="A132" s="35"/>
      <c r="B132" s="61"/>
      <c r="C132" s="61"/>
      <c r="D132" s="61"/>
      <c r="E132" s="61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4.25" customHeight="1">
      <c r="A133" s="35"/>
      <c r="B133" s="61"/>
      <c r="C133" s="61"/>
      <c r="D133" s="61"/>
      <c r="E133" s="6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4.25" customHeight="1">
      <c r="A134" s="35"/>
      <c r="B134" s="61"/>
      <c r="C134" s="61"/>
      <c r="D134" s="61"/>
      <c r="E134" s="6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4.25" customHeight="1">
      <c r="A135" s="35"/>
      <c r="B135" s="61"/>
      <c r="C135" s="61"/>
      <c r="D135" s="61"/>
      <c r="E135" s="6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4.25" customHeight="1">
      <c r="A136" s="35"/>
      <c r="B136" s="61"/>
      <c r="C136" s="61"/>
      <c r="D136" s="61"/>
      <c r="E136" s="6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4.25" customHeight="1">
      <c r="A137" s="35"/>
      <c r="B137" s="61"/>
      <c r="C137" s="61"/>
      <c r="D137" s="61"/>
      <c r="E137" s="6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4.25" customHeight="1">
      <c r="A138" s="35"/>
      <c r="B138" s="61"/>
      <c r="C138" s="61"/>
      <c r="D138" s="61"/>
      <c r="E138" s="6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4.25" customHeight="1">
      <c r="A139" s="35"/>
      <c r="B139" s="61"/>
      <c r="C139" s="61"/>
      <c r="D139" s="61"/>
      <c r="E139" s="6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4.25" customHeight="1">
      <c r="A140" s="35"/>
      <c r="B140" s="61"/>
      <c r="C140" s="61"/>
      <c r="D140" s="61"/>
      <c r="E140" s="6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4.25" customHeight="1">
      <c r="A141" s="35"/>
      <c r="B141" s="61"/>
      <c r="C141" s="61"/>
      <c r="D141" s="61"/>
      <c r="E141" s="6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4.25" customHeight="1">
      <c r="A142" s="35"/>
      <c r="B142" s="61"/>
      <c r="C142" s="61"/>
      <c r="D142" s="61"/>
      <c r="E142" s="6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4.25" customHeight="1">
      <c r="A143" s="35"/>
      <c r="B143" s="61"/>
      <c r="C143" s="61"/>
      <c r="D143" s="61"/>
      <c r="E143" s="6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4.25" customHeight="1">
      <c r="A144" s="35"/>
      <c r="B144" s="61"/>
      <c r="C144" s="61"/>
      <c r="D144" s="61"/>
      <c r="E144" s="6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4.25" customHeight="1">
      <c r="A145" s="35"/>
      <c r="B145" s="61"/>
      <c r="C145" s="61"/>
      <c r="D145" s="61"/>
      <c r="E145" s="6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4.25" customHeight="1">
      <c r="A146" s="35"/>
      <c r="B146" s="61"/>
      <c r="C146" s="61"/>
      <c r="D146" s="61"/>
      <c r="E146" s="6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4.25" customHeight="1">
      <c r="A147" s="35"/>
      <c r="B147" s="61"/>
      <c r="C147" s="61"/>
      <c r="D147" s="61"/>
      <c r="E147" s="6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4.25" customHeight="1">
      <c r="A148" s="35"/>
      <c r="B148" s="61"/>
      <c r="C148" s="61"/>
      <c r="D148" s="61"/>
      <c r="E148" s="6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4.25" customHeight="1">
      <c r="A149" s="35"/>
      <c r="B149" s="61"/>
      <c r="C149" s="61"/>
      <c r="D149" s="61"/>
      <c r="E149" s="6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4.25" customHeight="1">
      <c r="A150" s="35"/>
      <c r="B150" s="61"/>
      <c r="C150" s="61"/>
      <c r="D150" s="61"/>
      <c r="E150" s="6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4.25" customHeight="1">
      <c r="A151" s="35"/>
      <c r="B151" s="61"/>
      <c r="C151" s="61"/>
      <c r="D151" s="61"/>
      <c r="E151" s="6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4.25" customHeight="1">
      <c r="A152" s="35"/>
      <c r="B152" s="61"/>
      <c r="C152" s="61"/>
      <c r="D152" s="61"/>
      <c r="E152" s="6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4.25" customHeight="1">
      <c r="A153" s="35"/>
      <c r="B153" s="61"/>
      <c r="C153" s="61"/>
      <c r="D153" s="61"/>
      <c r="E153" s="6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4.25" customHeight="1">
      <c r="A154" s="35"/>
      <c r="B154" s="61"/>
      <c r="C154" s="61"/>
      <c r="D154" s="61"/>
      <c r="E154" s="6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4.25" customHeight="1">
      <c r="A155" s="35"/>
      <c r="B155" s="61"/>
      <c r="C155" s="61"/>
      <c r="D155" s="61"/>
      <c r="E155" s="6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4.25" customHeight="1">
      <c r="A156" s="35"/>
      <c r="B156" s="61"/>
      <c r="C156" s="61"/>
      <c r="D156" s="61"/>
      <c r="E156" s="6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4.25" customHeight="1">
      <c r="A157" s="35"/>
      <c r="B157" s="61"/>
      <c r="C157" s="61"/>
      <c r="D157" s="61"/>
      <c r="E157" s="6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4.25" customHeight="1">
      <c r="A158" s="35"/>
      <c r="B158" s="61"/>
      <c r="C158" s="61"/>
      <c r="D158" s="61"/>
      <c r="E158" s="6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4.25" customHeight="1">
      <c r="A159" s="35"/>
      <c r="B159" s="61"/>
      <c r="C159" s="61"/>
      <c r="D159" s="61"/>
      <c r="E159" s="61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4.25" customHeight="1">
      <c r="A160" s="2"/>
      <c r="B160" s="3"/>
      <c r="C160" s="5"/>
      <c r="D160" s="5"/>
      <c r="E160" s="5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4.25" customHeight="1">
      <c r="A161" s="2"/>
      <c r="B161" s="3"/>
      <c r="C161" s="5"/>
      <c r="D161" s="5"/>
      <c r="E161" s="5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4.25" customHeight="1">
      <c r="A162" s="2"/>
      <c r="B162" s="3"/>
      <c r="C162" s="5"/>
      <c r="D162" s="5"/>
      <c r="E162" s="5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4.25" customHeight="1">
      <c r="A163" s="2"/>
      <c r="B163" s="3"/>
      <c r="C163" s="5"/>
      <c r="D163" s="5"/>
      <c r="E163" s="5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4.25" customHeight="1">
      <c r="A164" s="2"/>
      <c r="B164" s="3"/>
      <c r="C164" s="5"/>
      <c r="D164" s="5"/>
      <c r="E164" s="5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4.25" customHeight="1">
      <c r="A165" s="2"/>
      <c r="B165" s="3"/>
      <c r="C165" s="5"/>
      <c r="D165" s="5"/>
      <c r="E165" s="5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4.25" customHeight="1">
      <c r="A166" s="2"/>
      <c r="B166" s="3"/>
      <c r="C166" s="5"/>
      <c r="D166" s="5"/>
      <c r="E166" s="5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4.25" customHeight="1">
      <c r="A167" s="2"/>
      <c r="B167" s="3"/>
      <c r="C167" s="5"/>
      <c r="D167" s="5"/>
      <c r="E167" s="5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4.25" customHeight="1">
      <c r="A168" s="2"/>
      <c r="B168" s="3"/>
      <c r="C168" s="5"/>
      <c r="D168" s="5"/>
      <c r="E168" s="5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4.25" customHeight="1">
      <c r="A169" s="2"/>
      <c r="B169" s="3"/>
      <c r="C169" s="5"/>
      <c r="D169" s="5"/>
      <c r="E169" s="5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4.25" customHeight="1">
      <c r="A170" s="2"/>
      <c r="B170" s="3"/>
      <c r="C170" s="5"/>
      <c r="D170" s="5"/>
      <c r="E170" s="5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4.25" customHeight="1">
      <c r="A171" s="2"/>
      <c r="B171" s="3"/>
      <c r="C171" s="5"/>
      <c r="D171" s="5"/>
      <c r="E171" s="5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4.25" customHeight="1">
      <c r="A172" s="2"/>
      <c r="B172" s="3"/>
      <c r="C172" s="5"/>
      <c r="D172" s="5"/>
      <c r="E172" s="5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4.25" customHeight="1">
      <c r="A173" s="2"/>
      <c r="B173" s="3"/>
      <c r="C173" s="5"/>
      <c r="D173" s="5"/>
      <c r="E173" s="5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4.25" customHeight="1">
      <c r="A174" s="2"/>
      <c r="B174" s="3"/>
      <c r="C174" s="5"/>
      <c r="D174" s="5"/>
      <c r="E174" s="5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4.25" customHeight="1">
      <c r="A175" s="2"/>
      <c r="B175" s="3"/>
      <c r="C175" s="5"/>
      <c r="D175" s="5"/>
      <c r="E175" s="5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4.25" customHeight="1">
      <c r="A176" s="2"/>
      <c r="B176" s="3"/>
      <c r="C176" s="5"/>
      <c r="D176" s="5"/>
      <c r="E176" s="5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4.25" customHeight="1">
      <c r="A177" s="2"/>
      <c r="B177" s="3"/>
      <c r="C177" s="5"/>
      <c r="D177" s="5"/>
      <c r="E177" s="5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4.25" customHeight="1">
      <c r="A178" s="2"/>
      <c r="B178" s="3"/>
      <c r="C178" s="5"/>
      <c r="D178" s="5"/>
      <c r="E178" s="5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4.25" customHeight="1">
      <c r="A179" s="2"/>
      <c r="B179" s="3"/>
      <c r="C179" s="5"/>
      <c r="D179" s="5"/>
      <c r="E179" s="5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4.25" customHeight="1">
      <c r="A180" s="2"/>
      <c r="B180" s="3"/>
      <c r="C180" s="5"/>
      <c r="D180" s="5"/>
      <c r="E180" s="5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4.25" customHeight="1">
      <c r="A181" s="2"/>
      <c r="B181" s="3"/>
      <c r="C181" s="5"/>
      <c r="D181" s="5"/>
      <c r="E181" s="5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4.25" customHeight="1">
      <c r="A182" s="2"/>
      <c r="B182" s="3"/>
      <c r="C182" s="5"/>
      <c r="D182" s="5"/>
      <c r="E182" s="5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4.25" customHeight="1">
      <c r="A183" s="2"/>
      <c r="B183" s="3"/>
      <c r="C183" s="5"/>
      <c r="D183" s="5"/>
      <c r="E183" s="5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4.25" customHeight="1">
      <c r="A184" s="2"/>
      <c r="B184" s="3"/>
      <c r="C184" s="5"/>
      <c r="D184" s="5"/>
      <c r="E184" s="5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4.25" customHeight="1">
      <c r="A185" s="2"/>
      <c r="B185" s="3"/>
      <c r="C185" s="5"/>
      <c r="D185" s="5"/>
      <c r="E185" s="5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4.25" customHeight="1">
      <c r="A186" s="2"/>
      <c r="B186" s="3"/>
      <c r="C186" s="5"/>
      <c r="D186" s="5"/>
      <c r="E186" s="5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4.25" customHeight="1">
      <c r="A187" s="2"/>
      <c r="B187" s="3"/>
      <c r="C187" s="5"/>
      <c r="D187" s="5"/>
      <c r="E187" s="5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4.25" customHeight="1">
      <c r="A188" s="2"/>
      <c r="B188" s="3"/>
      <c r="C188" s="5"/>
      <c r="D188" s="5"/>
      <c r="E188" s="5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4.25" customHeight="1">
      <c r="A189" s="2"/>
      <c r="B189" s="3"/>
      <c r="C189" s="5"/>
      <c r="D189" s="5"/>
      <c r="E189" s="5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4.25" customHeight="1">
      <c r="A190" s="2"/>
      <c r="B190" s="3"/>
      <c r="C190" s="5"/>
      <c r="D190" s="5"/>
      <c r="E190" s="5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4.25" customHeight="1">
      <c r="A191" s="2"/>
      <c r="B191" s="3"/>
      <c r="C191" s="5"/>
      <c r="D191" s="5"/>
      <c r="E191" s="5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4.25" customHeight="1">
      <c r="A192" s="2"/>
      <c r="B192" s="3"/>
      <c r="C192" s="5"/>
      <c r="D192" s="5"/>
      <c r="E192" s="5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4.25" customHeight="1">
      <c r="A193" s="2"/>
      <c r="B193" s="3"/>
      <c r="C193" s="5"/>
      <c r="D193" s="5"/>
      <c r="E193" s="5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4.25" customHeight="1">
      <c r="A194" s="2"/>
      <c r="B194" s="3"/>
      <c r="C194" s="5"/>
      <c r="D194" s="5"/>
      <c r="E194" s="5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4.25" customHeight="1">
      <c r="A195" s="2"/>
      <c r="B195" s="3"/>
      <c r="C195" s="5"/>
      <c r="D195" s="5"/>
      <c r="E195" s="5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4.25" customHeight="1">
      <c r="A196" s="2"/>
      <c r="B196" s="3"/>
      <c r="C196" s="5"/>
      <c r="D196" s="5"/>
      <c r="E196" s="5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4.25" customHeight="1">
      <c r="A197" s="2"/>
      <c r="B197" s="3"/>
      <c r="C197" s="5"/>
      <c r="D197" s="5"/>
      <c r="E197" s="5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4.25" customHeight="1">
      <c r="A198" s="2"/>
      <c r="B198" s="3"/>
      <c r="C198" s="5"/>
      <c r="D198" s="5"/>
      <c r="E198" s="5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4.25" customHeight="1">
      <c r="A199" s="2"/>
      <c r="B199" s="3"/>
      <c r="C199" s="5"/>
      <c r="D199" s="5"/>
      <c r="E199" s="5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4.25" customHeight="1">
      <c r="A200" s="2"/>
      <c r="B200" s="3"/>
      <c r="C200" s="5"/>
      <c r="D200" s="5"/>
      <c r="E200" s="5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4.25" customHeight="1">
      <c r="A201" s="2"/>
      <c r="B201" s="3"/>
      <c r="C201" s="5"/>
      <c r="D201" s="5"/>
      <c r="E201" s="5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4.25" customHeight="1">
      <c r="A202" s="2"/>
      <c r="B202" s="3"/>
      <c r="C202" s="5"/>
      <c r="D202" s="5"/>
      <c r="E202" s="5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4.25" customHeight="1">
      <c r="A203" s="2"/>
      <c r="B203" s="3"/>
      <c r="C203" s="5"/>
      <c r="D203" s="5"/>
      <c r="E203" s="5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4.25" customHeight="1">
      <c r="A204" s="2"/>
      <c r="B204" s="3"/>
      <c r="C204" s="5"/>
      <c r="D204" s="5"/>
      <c r="E204" s="5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4.25" customHeight="1">
      <c r="A205" s="2"/>
      <c r="B205" s="3"/>
      <c r="C205" s="5"/>
      <c r="D205" s="5"/>
      <c r="E205" s="5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4.25" customHeight="1">
      <c r="A206" s="2"/>
      <c r="B206" s="3"/>
      <c r="C206" s="5"/>
      <c r="D206" s="5"/>
      <c r="E206" s="5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4.25" customHeight="1">
      <c r="A207" s="2"/>
      <c r="B207" s="3"/>
      <c r="C207" s="5"/>
      <c r="D207" s="5"/>
      <c r="E207" s="5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4.25" customHeight="1">
      <c r="A208" s="2"/>
      <c r="B208" s="3"/>
      <c r="C208" s="5"/>
      <c r="D208" s="5"/>
      <c r="E208" s="5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4.25" customHeight="1">
      <c r="A209" s="2"/>
      <c r="B209" s="3"/>
      <c r="C209" s="5"/>
      <c r="D209" s="5"/>
      <c r="E209" s="5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4.25" customHeight="1">
      <c r="A210" s="2"/>
      <c r="B210" s="3"/>
      <c r="C210" s="5"/>
      <c r="D210" s="5"/>
      <c r="E210" s="5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4.25" customHeight="1">
      <c r="A211" s="2"/>
      <c r="B211" s="3"/>
      <c r="C211" s="5"/>
      <c r="D211" s="5"/>
      <c r="E211" s="5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4.25" customHeight="1">
      <c r="A212" s="2"/>
      <c r="B212" s="3"/>
      <c r="C212" s="5"/>
      <c r="D212" s="5"/>
      <c r="E212" s="5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4.25" customHeight="1">
      <c r="A213" s="2"/>
      <c r="B213" s="3"/>
      <c r="C213" s="5"/>
      <c r="D213" s="5"/>
      <c r="E213" s="5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4.25" customHeight="1">
      <c r="A214" s="2"/>
      <c r="B214" s="3"/>
      <c r="C214" s="5"/>
      <c r="D214" s="5"/>
      <c r="E214" s="5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4.25" customHeight="1">
      <c r="A215" s="2"/>
      <c r="B215" s="3"/>
      <c r="C215" s="5"/>
      <c r="D215" s="5"/>
      <c r="E215" s="5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4.25" customHeight="1">
      <c r="A216" s="2"/>
      <c r="B216" s="3"/>
      <c r="C216" s="5"/>
      <c r="D216" s="5"/>
      <c r="E216" s="5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4.25" customHeight="1">
      <c r="A217" s="2"/>
      <c r="B217" s="3"/>
      <c r="C217" s="5"/>
      <c r="D217" s="5"/>
      <c r="E217" s="5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4.25" customHeight="1">
      <c r="A218" s="2"/>
      <c r="B218" s="3"/>
      <c r="C218" s="5"/>
      <c r="D218" s="5"/>
      <c r="E218" s="5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4.25" customHeight="1">
      <c r="A219" s="2"/>
      <c r="B219" s="3"/>
      <c r="C219" s="5"/>
      <c r="D219" s="5"/>
      <c r="E219" s="5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4.25" customHeight="1">
      <c r="A220" s="2"/>
      <c r="B220" s="3"/>
      <c r="C220" s="5"/>
      <c r="D220" s="5"/>
      <c r="E220" s="5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4.25" customHeight="1">
      <c r="A221" s="2"/>
      <c r="B221" s="3"/>
      <c r="C221" s="5"/>
      <c r="D221" s="5"/>
      <c r="E221" s="5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4.25" customHeight="1">
      <c r="A222" s="2"/>
      <c r="B222" s="3"/>
      <c r="C222" s="5"/>
      <c r="D222" s="5"/>
      <c r="E222" s="5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4.25" customHeight="1">
      <c r="A223" s="2"/>
      <c r="B223" s="3"/>
      <c r="C223" s="5"/>
      <c r="D223" s="5"/>
      <c r="E223" s="5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4.25" customHeight="1">
      <c r="A224" s="2"/>
      <c r="B224" s="3"/>
      <c r="C224" s="5"/>
      <c r="D224" s="5"/>
      <c r="E224" s="5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4.25" customHeight="1">
      <c r="A225" s="2"/>
      <c r="B225" s="3"/>
      <c r="C225" s="5"/>
      <c r="D225" s="5"/>
      <c r="E225" s="5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4.25" customHeight="1">
      <c r="A226" s="2"/>
      <c r="B226" s="3"/>
      <c r="C226" s="5"/>
      <c r="D226" s="5"/>
      <c r="E226" s="5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4.25" customHeight="1">
      <c r="A227" s="2"/>
      <c r="B227" s="3"/>
      <c r="C227" s="5"/>
      <c r="D227" s="5"/>
      <c r="E227" s="5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4.25" customHeight="1">
      <c r="A228" s="2"/>
      <c r="B228" s="3"/>
      <c r="C228" s="5"/>
      <c r="D228" s="5"/>
      <c r="E228" s="5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4.25" customHeight="1">
      <c r="A229" s="2"/>
      <c r="B229" s="3"/>
      <c r="C229" s="5"/>
      <c r="D229" s="5"/>
      <c r="E229" s="5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4.25" customHeight="1">
      <c r="A230" s="2"/>
      <c r="B230" s="3"/>
      <c r="C230" s="5"/>
      <c r="D230" s="5"/>
      <c r="E230" s="5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4.25" customHeight="1">
      <c r="A231" s="2"/>
      <c r="B231" s="3"/>
      <c r="C231" s="5"/>
      <c r="D231" s="5"/>
      <c r="E231" s="5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4.25" customHeight="1">
      <c r="A232" s="2"/>
      <c r="B232" s="3"/>
      <c r="C232" s="5"/>
      <c r="D232" s="5"/>
      <c r="E232" s="5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4.25" customHeight="1">
      <c r="A233" s="2"/>
      <c r="B233" s="3"/>
      <c r="C233" s="5"/>
      <c r="D233" s="5"/>
      <c r="E233" s="5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4.25" customHeight="1">
      <c r="A234" s="2"/>
      <c r="B234" s="3"/>
      <c r="C234" s="5"/>
      <c r="D234" s="5"/>
      <c r="E234" s="5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4.25" customHeight="1">
      <c r="A235" s="2"/>
      <c r="B235" s="3"/>
      <c r="C235" s="5"/>
      <c r="D235" s="5"/>
      <c r="E235" s="5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4.25" customHeight="1">
      <c r="A236" s="2"/>
      <c r="B236" s="3"/>
      <c r="C236" s="5"/>
      <c r="D236" s="5"/>
      <c r="E236" s="5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4.25" customHeight="1">
      <c r="A237" s="2"/>
      <c r="B237" s="3"/>
      <c r="C237" s="5"/>
      <c r="D237" s="5"/>
      <c r="E237" s="5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4.25" customHeight="1">
      <c r="A238" s="2"/>
      <c r="B238" s="3"/>
      <c r="C238" s="5"/>
      <c r="D238" s="5"/>
      <c r="E238" s="5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4">
    <mergeCell ref="A2:E3"/>
    <mergeCell ref="C4:E4"/>
    <mergeCell ref="G4:I4"/>
    <mergeCell ref="H81:J9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19.43"/>
    <col customWidth="1" min="2" max="2" width="17.57"/>
    <col customWidth="1" min="3" max="3" width="11.86"/>
    <col customWidth="1" min="4" max="4" width="12.0"/>
    <col customWidth="1" min="5" max="5" width="13.86"/>
    <col customWidth="1" min="6" max="7" width="12.43"/>
    <col customWidth="1" min="8" max="8" width="11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7" t="s">
        <v>0</v>
      </c>
      <c r="D4" s="9"/>
      <c r="E4" s="1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3" t="s">
        <v>2</v>
      </c>
      <c r="B5" s="13" t="s">
        <v>3</v>
      </c>
      <c r="C5" s="13" t="s">
        <v>4</v>
      </c>
      <c r="D5" s="13" t="s">
        <v>5</v>
      </c>
      <c r="E5" s="13" t="s">
        <v>6</v>
      </c>
      <c r="F5" s="13" t="s">
        <v>7</v>
      </c>
      <c r="G5" s="13" t="s">
        <v>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8" t="s">
        <v>9</v>
      </c>
      <c r="B6" s="19" t="s">
        <v>10</v>
      </c>
      <c r="C6" s="20"/>
      <c r="D6" s="20" t="s">
        <v>11</v>
      </c>
      <c r="E6" s="21">
        <v>0.4</v>
      </c>
      <c r="F6" s="25">
        <f>C17</f>
        <v>1792244</v>
      </c>
      <c r="G6" s="25">
        <f t="shared" ref="G6:G8" si="1">F6/180</f>
        <v>9956.911111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8" t="s">
        <v>19</v>
      </c>
      <c r="B7" s="19" t="s">
        <v>20</v>
      </c>
      <c r="C7" s="20"/>
      <c r="D7" s="20" t="s">
        <v>11</v>
      </c>
      <c r="E7" s="21">
        <v>0.3</v>
      </c>
      <c r="F7" s="25">
        <f>C17</f>
        <v>1792244</v>
      </c>
      <c r="G7" s="25">
        <f t="shared" si="1"/>
        <v>9956.911111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3" t="s">
        <v>18</v>
      </c>
      <c r="B8" s="19" t="s">
        <v>24</v>
      </c>
      <c r="C8" s="20" t="s">
        <v>11</v>
      </c>
      <c r="D8" s="20"/>
      <c r="E8" s="21">
        <v>0.3</v>
      </c>
      <c r="F8" s="25">
        <f>B16</f>
        <v>1327855</v>
      </c>
      <c r="G8" s="25">
        <f t="shared" si="1"/>
        <v>7376.972222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35" t="s">
        <v>28</v>
      </c>
      <c r="E11" s="35">
        <v>45.0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35" t="s">
        <v>30</v>
      </c>
      <c r="E12" s="35">
        <f>E11*4</f>
        <v>180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35" t="s">
        <v>8</v>
      </c>
      <c r="E13" s="35" t="s">
        <v>33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38" t="s">
        <v>36</v>
      </c>
      <c r="B15" s="38" t="s">
        <v>38</v>
      </c>
      <c r="C15" s="39" t="s">
        <v>39</v>
      </c>
      <c r="D15" s="39" t="s">
        <v>40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40" t="s">
        <v>42</v>
      </c>
      <c r="B16" s="42">
        <v>1327855.0</v>
      </c>
      <c r="C16" s="42">
        <v>1327855.0</v>
      </c>
      <c r="D16" s="42">
        <v>1327855.0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40" t="s">
        <v>45</v>
      </c>
      <c r="B17" s="42">
        <v>0.0</v>
      </c>
      <c r="C17" s="42">
        <v>1792244.0</v>
      </c>
      <c r="D17" s="42">
        <v>1792244.0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4" t="s">
        <v>54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1">
    <mergeCell ref="C4:E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2016-03-23T12:19:20Z</dcterms:created>
  <dc:creator>Duoc</dc:creator>
</cp:coreProperties>
</file>