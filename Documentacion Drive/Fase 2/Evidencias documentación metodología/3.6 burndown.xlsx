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</sheets>
  <definedNames/>
  <calcPr/>
  <extLst>
    <ext uri="GoogleSheetsCustomDataVersion2">
      <go:sheetsCustomData xmlns:go="http://customooxmlschemas.google.com/" r:id="rId7" roundtripDataChecksum="TV1y8TA3TYEfAarvJcViFXOBrUFIq+ml/5jzn6DSWts="/>
    </ext>
  </extLst>
</workbook>
</file>

<file path=xl/sharedStrings.xml><?xml version="1.0" encoding="utf-8"?>
<sst xmlns="http://schemas.openxmlformats.org/spreadsheetml/2006/main" count="40" uniqueCount="26">
  <si>
    <t>Control del Sprint</t>
  </si>
  <si>
    <t>Historias de Usuario o Spike</t>
  </si>
  <si>
    <t>horas estimadas</t>
  </si>
  <si>
    <t>DIA</t>
  </si>
  <si>
    <t>Total</t>
  </si>
  <si>
    <t>Gestión de usuarios y roles</t>
  </si>
  <si>
    <t>Iniciar sesión en la plataforma</t>
  </si>
  <si>
    <t>Registrar actividad de la etapa</t>
  </si>
  <si>
    <t>Consulta detallada de las cajas quirúrgicas</t>
  </si>
  <si>
    <t>Consulta de auditoría</t>
  </si>
  <si>
    <t>Control de acceso según rol</t>
  </si>
  <si>
    <t>Registrar salida de insumos</t>
  </si>
  <si>
    <t>Configurar alertas de inventario</t>
  </si>
  <si>
    <t>Consulta de estado y ubicación de cajas quirúrgicas</t>
  </si>
  <si>
    <t>Registrar reposición de insumos</t>
  </si>
  <si>
    <t>Registro de cambio de etapa de cajas quirúrgicas</t>
  </si>
  <si>
    <t>Funcionalidad agregar cajas quirúrgicas</t>
  </si>
  <si>
    <t>Retroceder etapa</t>
  </si>
  <si>
    <t>Historial de entregas de cajas quirúrgicas y materiales</t>
  </si>
  <si>
    <t>Consulta de inventarios por separado</t>
  </si>
  <si>
    <t>Registro de entrega de cajas quirúrgicas y materiales</t>
  </si>
  <si>
    <t>Consulta del catálogo digital de cajas quirúrgicas</t>
  </si>
  <si>
    <t>Consulta de estadísticas de producción de la Central</t>
  </si>
  <si>
    <t>Reales de producto por realizar</t>
  </si>
  <si>
    <t>Generación de reportes de producción de la Central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</si>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</sst>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3" numFmtId="0" xfId="0" applyAlignment="1" applyBorder="1" applyFill="1" applyFont="1">
      <alignment readingOrder="0" shrinkToFit="0" vertical="center" wrapText="1"/>
    </xf>
    <xf borderId="8" fillId="2" fontId="3" numFmtId="0" xfId="0" applyAlignment="1" applyBorder="1" applyFill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13" fillId="2" fontId="3" numFmtId="0" xfId="0" applyAlignment="1" applyBorder="1" applyFill="1" applyFont="1">
      <alignment readingOrder="0" shrinkToFit="0" vertical="center" wrapText="1"/>
    </xf>
    <xf borderId="14" fillId="2" fontId="3" numFmtId="0" xfId="0" applyAlignment="1" applyBorder="1" applyFill="1" applyFont="1">
      <alignment horizontal="center" shrinkToFit="0" vertical="center" wrapText="1"/>
    </xf>
    <xf borderId="15" fillId="2" fontId="3" numFmtId="0" xfId="0" applyAlignment="1" applyBorder="1" applyFill="1" applyFont="1">
      <alignment readingOrder="0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ill="1" applyFont="1">
      <alignment readingOrder="0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1'!$B$14:$V$14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1'!$B$16:$V$16</c:f>
              <c:numCache/>
            </c:numRef>
          </c:val>
          <c:smooth val="0"/>
        </c:ser>
        <c:axId val="1822147549"/>
        <c:axId val="2012110264"/>
      </c:lineChart>
      <c:catAx>
        <c:axId val="1822147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2110264"/>
      </c:catAx>
      <c:valAx>
        <c:axId val="2012110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214754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2'!$B$10:$V$10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2'!$B$12:$V$12</c:f>
              <c:numCache/>
            </c:numRef>
          </c:val>
          <c:smooth val="0"/>
        </c:ser>
        <c:axId val="1768376615"/>
        <c:axId val="1478856606"/>
      </c:lineChart>
      <c:catAx>
        <c:axId val="1768376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8856606"/>
      </c:catAx>
      <c:valAx>
        <c:axId val="1478856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837661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3'!$B$13:$V$13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3'!$B$15:$V$15</c:f>
              <c:numCache/>
            </c:numRef>
          </c:val>
          <c:smooth val="0"/>
        </c:ser>
        <c:axId val="1309035928"/>
        <c:axId val="568127660"/>
      </c:lineChart>
      <c:catAx>
        <c:axId val="1309035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8127660"/>
      </c:catAx>
      <c:valAx>
        <c:axId val="568127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903592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714375</xdr:colOff>
      <xdr:row>1</xdr:row>
      <xdr:rowOff>200025</xdr:rowOff>
    </xdr:from>
    <xdr:ext cx="3524250" cy="3257550"/>
    <xdr:graphicFrame>
      <xdr:nvGraphicFramePr>
        <xdr:cNvPr id="54658015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714375</xdr:colOff>
      <xdr:row>1</xdr:row>
      <xdr:rowOff>200025</xdr:rowOff>
    </xdr:from>
    <xdr:ext cx="3524250" cy="3257550"/>
    <xdr:graphicFrame>
      <xdr:nvGraphicFramePr>
        <xdr:cNvPr id="175970277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714375</xdr:colOff>
      <xdr:row>1</xdr:row>
      <xdr:rowOff>200025</xdr:rowOff>
    </xdr:from>
    <xdr:ext cx="3524250" cy="3257550"/>
    <xdr:graphicFrame>
      <xdr:nvGraphicFramePr>
        <xdr:cNvPr id="41730907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1.57"/>
    <col customWidth="1" min="3" max="22" width="7.29"/>
    <col customWidth="1" min="23" max="23" width="9.14"/>
    <col customWidth="1" min="24" max="29" width="10.71"/>
  </cols>
  <sheetData>
    <row r="1" ht="32.25" customHeight="1">
      <c r="A1" s="1" t="s">
        <v>0</v>
      </c>
      <c r="B1" s="2"/>
    </row>
    <row r="2" ht="18.0" customHeight="1"/>
    <row r="3" ht="21.0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4</v>
      </c>
    </row>
    <row r="4" ht="24.0" customHeight="1">
      <c r="A4" s="7"/>
      <c r="B4" s="7"/>
      <c r="C4" s="3">
        <v>1.0</v>
      </c>
      <c r="D4" s="3">
        <v>2.0</v>
      </c>
      <c r="E4" s="3">
        <v>3.0</v>
      </c>
      <c r="F4" s="3">
        <v>4.0</v>
      </c>
      <c r="G4" s="3">
        <v>5.0</v>
      </c>
      <c r="H4" s="3">
        <v>6.0</v>
      </c>
      <c r="I4" s="3">
        <v>7.0</v>
      </c>
      <c r="J4" s="3">
        <v>8.0</v>
      </c>
      <c r="K4" s="3">
        <v>9.0</v>
      </c>
      <c r="L4" s="3">
        <v>10.0</v>
      </c>
      <c r="M4" s="3">
        <v>11.0</v>
      </c>
      <c r="N4" s="3">
        <v>12.0</v>
      </c>
      <c r="O4" s="3">
        <v>13.0</v>
      </c>
      <c r="P4" s="3">
        <v>14.0</v>
      </c>
      <c r="Q4" s="3">
        <v>15.0</v>
      </c>
      <c r="R4" s="3">
        <v>16.0</v>
      </c>
      <c r="S4" s="3">
        <v>17.0</v>
      </c>
      <c r="T4" s="3">
        <v>18.0</v>
      </c>
      <c r="U4" s="3">
        <v>19.0</v>
      </c>
      <c r="V4" s="3">
        <v>20.0</v>
      </c>
      <c r="W4" s="8"/>
    </row>
    <row r="5" ht="47.25" customHeight="1">
      <c r="A5" s="9" t="s">
        <v>6</v>
      </c>
      <c r="B5" s="10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3">
        <f t="shared" ref="W5:W9" si="1">SUM(C5:V5)</f>
        <v>0</v>
      </c>
    </row>
    <row r="6" ht="47.25" customHeight="1">
      <c r="A6" s="13" t="s">
        <v>10</v>
      </c>
      <c r="B6" s="4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>
        <f t="shared" si="1"/>
        <v>0</v>
      </c>
    </row>
    <row r="7" ht="47.25" customHeight="1">
      <c r="A7" s="17" t="s">
        <v>13</v>
      </c>
      <c r="B7" s="18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6">
        <f t="shared" si="1"/>
        <v>0</v>
      </c>
    </row>
    <row r="8" ht="47.25" customHeight="1">
      <c r="A8" s="13" t="s">
        <v>15</v>
      </c>
      <c r="B8" s="4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>
        <f t="shared" si="1"/>
        <v>0</v>
      </c>
    </row>
    <row r="9" ht="47.25" customHeight="1">
      <c r="A9" s="21" t="s">
        <v>17</v>
      </c>
      <c r="B9" s="22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>
        <f t="shared" si="1"/>
        <v>0</v>
      </c>
    </row>
    <row r="10" ht="47.25" customHeight="1">
      <c r="A10" s="13" t="s">
        <v>19</v>
      </c>
      <c r="B10" s="4"/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6"/>
    </row>
    <row r="11" ht="47.25" customHeight="1">
      <c r="A11" s="21" t="s">
        <v>20</v>
      </c>
      <c r="B11" s="22"/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6"/>
    </row>
    <row r="12" ht="47.25" customHeight="1">
      <c r="A12" s="13" t="s">
        <v>21</v>
      </c>
      <c r="B12" s="4"/>
      <c r="C12" s="20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4">
        <f>SUM(C12:V12)</f>
        <v>0</v>
      </c>
    </row>
    <row r="13" ht="23.25" customHeight="1"/>
    <row r="14" ht="34.5" customHeight="1">
      <c r="A14" s="25" t="s">
        <v>23</v>
      </c>
      <c r="B14" s="26">
        <f>SUM(B5:B13)</f>
        <v>0</v>
      </c>
      <c r="C14" s="26">
        <f t="shared" ref="C14:V14" si="2">B14-SUM(C5:C12)</f>
        <v>0</v>
      </c>
      <c r="D14" s="26">
        <f t="shared" si="2"/>
        <v>0</v>
      </c>
      <c r="E14" s="26">
        <f t="shared" si="2"/>
        <v>0</v>
      </c>
      <c r="F14" s="26">
        <f t="shared" si="2"/>
        <v>0</v>
      </c>
      <c r="G14" s="26">
        <f t="shared" si="2"/>
        <v>0</v>
      </c>
      <c r="H14" s="26">
        <f t="shared" si="2"/>
        <v>0</v>
      </c>
      <c r="I14" s="26">
        <f t="shared" si="2"/>
        <v>0</v>
      </c>
      <c r="J14" s="26">
        <f t="shared" si="2"/>
        <v>0</v>
      </c>
      <c r="K14" s="26">
        <f t="shared" si="2"/>
        <v>0</v>
      </c>
      <c r="L14" s="26">
        <f t="shared" si="2"/>
        <v>0</v>
      </c>
      <c r="M14" s="26">
        <f t="shared" si="2"/>
        <v>0</v>
      </c>
      <c r="N14" s="26">
        <f t="shared" si="2"/>
        <v>0</v>
      </c>
      <c r="O14" s="26">
        <f t="shared" si="2"/>
        <v>0</v>
      </c>
      <c r="P14" s="26">
        <f t="shared" si="2"/>
        <v>0</v>
      </c>
      <c r="Q14" s="26">
        <f t="shared" si="2"/>
        <v>0</v>
      </c>
      <c r="R14" s="26">
        <f t="shared" si="2"/>
        <v>0</v>
      </c>
      <c r="S14" s="26">
        <f t="shared" si="2"/>
        <v>0</v>
      </c>
      <c r="T14" s="26">
        <f t="shared" si="2"/>
        <v>0</v>
      </c>
      <c r="U14" s="26">
        <f t="shared" si="2"/>
        <v>0</v>
      </c>
      <c r="V14" s="26">
        <f t="shared" si="2"/>
        <v>0</v>
      </c>
    </row>
    <row r="15" ht="23.25" customHeight="1">
      <c r="A15" s="27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ht="36.0" customHeight="1">
      <c r="A16" s="25" t="s">
        <v>25</v>
      </c>
      <c r="B16" s="26">
        <f>SUM(B5:B12)</f>
        <v>0</v>
      </c>
      <c r="C16" s="26">
        <f t="shared" ref="C16:V16" si="3">B16-(SUM($B$5:$B$12)/20)</f>
        <v>0</v>
      </c>
      <c r="D16" s="26">
        <f t="shared" si="3"/>
        <v>0</v>
      </c>
      <c r="E16" s="26">
        <f t="shared" si="3"/>
        <v>0</v>
      </c>
      <c r="F16" s="26">
        <f t="shared" si="3"/>
        <v>0</v>
      </c>
      <c r="G16" s="26">
        <f t="shared" si="3"/>
        <v>0</v>
      </c>
      <c r="H16" s="26">
        <f t="shared" si="3"/>
        <v>0</v>
      </c>
      <c r="I16" s="26">
        <f t="shared" si="3"/>
        <v>0</v>
      </c>
      <c r="J16" s="26">
        <f t="shared" si="3"/>
        <v>0</v>
      </c>
      <c r="K16" s="26">
        <f t="shared" si="3"/>
        <v>0</v>
      </c>
      <c r="L16" s="26">
        <f t="shared" si="3"/>
        <v>0</v>
      </c>
      <c r="M16" s="26">
        <f t="shared" si="3"/>
        <v>0</v>
      </c>
      <c r="N16" s="26">
        <f t="shared" si="3"/>
        <v>0</v>
      </c>
      <c r="O16" s="26">
        <f t="shared" si="3"/>
        <v>0</v>
      </c>
      <c r="P16" s="26">
        <f t="shared" si="3"/>
        <v>0</v>
      </c>
      <c r="Q16" s="26">
        <f t="shared" si="3"/>
        <v>0</v>
      </c>
      <c r="R16" s="26">
        <f t="shared" si="3"/>
        <v>0</v>
      </c>
      <c r="S16" s="26">
        <f t="shared" si="3"/>
        <v>0</v>
      </c>
      <c r="T16" s="26">
        <f t="shared" si="3"/>
        <v>0</v>
      </c>
      <c r="U16" s="26">
        <f t="shared" si="3"/>
        <v>0</v>
      </c>
      <c r="V16" s="26">
        <f t="shared" si="3"/>
        <v>0</v>
      </c>
    </row>
    <row r="18">
      <c r="A18" s="28"/>
      <c r="B18" s="29"/>
      <c r="C18" s="28"/>
      <c r="D18" s="28"/>
      <c r="E18" s="28"/>
      <c r="F18" s="28"/>
      <c r="G18" s="28"/>
      <c r="H18" s="28"/>
      <c r="I18" s="28"/>
    </row>
    <row r="19">
      <c r="A19" s="28"/>
      <c r="B19" s="29"/>
      <c r="C19" s="28"/>
      <c r="D19" s="28"/>
      <c r="E19" s="28"/>
      <c r="F19" s="28"/>
      <c r="G19" s="29"/>
      <c r="H19" s="28"/>
      <c r="I19" s="28"/>
    </row>
    <row r="20">
      <c r="A20" s="28"/>
      <c r="B20" s="29"/>
      <c r="C20" s="28"/>
      <c r="D20" s="28"/>
      <c r="E20" s="28"/>
      <c r="F20" s="28"/>
      <c r="G20" s="29"/>
      <c r="H20" s="28"/>
      <c r="I20" s="28"/>
    </row>
    <row r="21">
      <c r="A21" s="28"/>
      <c r="B21" s="29"/>
      <c r="C21" s="28"/>
      <c r="D21" s="28"/>
      <c r="E21" s="28"/>
      <c r="F21" s="28"/>
      <c r="G21" s="29"/>
      <c r="H21" s="28"/>
      <c r="I21" s="28"/>
    </row>
    <row r="22">
      <c r="A22" s="28"/>
      <c r="B22" s="29"/>
      <c r="C22" s="28"/>
      <c r="D22" s="28"/>
      <c r="E22" s="28"/>
      <c r="F22" s="28"/>
      <c r="G22" s="29"/>
      <c r="H22" s="28"/>
      <c r="I22" s="28"/>
    </row>
    <row r="23" ht="15.75" customHeight="1">
      <c r="A23" s="28"/>
      <c r="B23" s="29"/>
      <c r="C23" s="28"/>
      <c r="D23" s="28"/>
      <c r="E23" s="28"/>
      <c r="F23" s="28"/>
      <c r="G23" s="29"/>
      <c r="H23" s="28"/>
      <c r="I23" s="28"/>
    </row>
    <row r="24" ht="15.75" customHeight="1">
      <c r="A24" s="28"/>
      <c r="B24" s="29"/>
      <c r="C24" s="28"/>
      <c r="D24" s="28"/>
      <c r="E24" s="28"/>
      <c r="F24" s="28"/>
      <c r="G24" s="29"/>
      <c r="H24" s="28"/>
      <c r="I24" s="28"/>
    </row>
    <row r="25" ht="15.75" customHeight="1">
      <c r="A25" s="28"/>
      <c r="B25" s="29"/>
      <c r="C25" s="28"/>
      <c r="D25" s="28"/>
      <c r="E25" s="28"/>
      <c r="F25" s="28"/>
      <c r="G25" s="28"/>
      <c r="H25" s="28"/>
      <c r="I25" s="28"/>
    </row>
    <row r="26" ht="15.75" customHeight="1">
      <c r="A26" s="28"/>
      <c r="B26" s="29"/>
      <c r="C26" s="28"/>
      <c r="D26" s="28"/>
      <c r="E26" s="28"/>
      <c r="F26" s="28"/>
      <c r="G26" s="28"/>
      <c r="H26" s="28"/>
      <c r="I26" s="28"/>
    </row>
    <row r="27" ht="15.75" customHeight="1">
      <c r="A27" s="28"/>
      <c r="B27" s="29"/>
      <c r="C27" s="28"/>
      <c r="D27" s="28"/>
      <c r="E27" s="28"/>
      <c r="F27" s="28"/>
      <c r="G27" s="28"/>
      <c r="H27" s="28"/>
      <c r="I27" s="2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1.57"/>
    <col customWidth="1" min="3" max="22" width="7.29"/>
    <col customWidth="1" min="23" max="23" width="9.14"/>
    <col customWidth="1" min="24" max="29" width="10.71"/>
  </cols>
  <sheetData>
    <row r="1" ht="32.25" customHeight="1">
      <c r="A1" s="1" t="s">
        <v>0</v>
      </c>
      <c r="B1" s="2"/>
    </row>
    <row r="2" ht="18.0" customHeight="1"/>
    <row r="3" ht="21.0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4</v>
      </c>
    </row>
    <row r="4" ht="24.0" customHeight="1">
      <c r="A4" s="7"/>
      <c r="B4" s="7"/>
      <c r="C4" s="3">
        <v>1.0</v>
      </c>
      <c r="D4" s="3">
        <v>2.0</v>
      </c>
      <c r="E4" s="3">
        <v>3.0</v>
      </c>
      <c r="F4" s="3">
        <v>4.0</v>
      </c>
      <c r="G4" s="3">
        <v>5.0</v>
      </c>
      <c r="H4" s="3">
        <v>6.0</v>
      </c>
      <c r="I4" s="3">
        <v>7.0</v>
      </c>
      <c r="J4" s="3">
        <v>8.0</v>
      </c>
      <c r="K4" s="3">
        <v>9.0</v>
      </c>
      <c r="L4" s="3">
        <v>10.0</v>
      </c>
      <c r="M4" s="3">
        <v>11.0</v>
      </c>
      <c r="N4" s="3">
        <v>12.0</v>
      </c>
      <c r="O4" s="3">
        <v>13.0</v>
      </c>
      <c r="P4" s="3">
        <v>14.0</v>
      </c>
      <c r="Q4" s="3">
        <v>15.0</v>
      </c>
      <c r="R4" s="3">
        <v>16.0</v>
      </c>
      <c r="S4" s="3">
        <v>17.0</v>
      </c>
      <c r="T4" s="3">
        <v>18.0</v>
      </c>
      <c r="U4" s="3">
        <v>19.0</v>
      </c>
      <c r="V4" s="3">
        <v>20.0</v>
      </c>
      <c r="W4" s="8"/>
    </row>
    <row r="5" ht="47.25" customHeight="1">
      <c r="A5" s="9" t="s">
        <v>7</v>
      </c>
      <c r="B5" s="10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3">
        <f t="shared" ref="W5:W8" si="1">SUM(C5:V5)</f>
        <v>0</v>
      </c>
    </row>
    <row r="6" ht="47.25" customHeight="1">
      <c r="A6" s="13" t="s">
        <v>8</v>
      </c>
      <c r="B6" s="4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>
        <f t="shared" si="1"/>
        <v>0</v>
      </c>
    </row>
    <row r="7" ht="47.25" customHeight="1">
      <c r="A7" s="17" t="s">
        <v>11</v>
      </c>
      <c r="B7" s="18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6">
        <f t="shared" si="1"/>
        <v>0</v>
      </c>
    </row>
    <row r="8" ht="47.25" customHeight="1">
      <c r="A8" s="13" t="s">
        <v>14</v>
      </c>
      <c r="B8" s="4"/>
      <c r="C8" s="20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4">
        <f t="shared" si="1"/>
        <v>0</v>
      </c>
    </row>
    <row r="9" ht="23.25" customHeight="1"/>
    <row r="10" ht="34.5" customHeight="1">
      <c r="A10" s="25" t="s">
        <v>23</v>
      </c>
      <c r="B10" s="26">
        <f>SUM(B5:B9)</f>
        <v>0</v>
      </c>
      <c r="C10" s="26">
        <f t="shared" ref="C10:V10" si="2">B10-SUM(C5:C8)</f>
        <v>0</v>
      </c>
      <c r="D10" s="26">
        <f t="shared" si="2"/>
        <v>0</v>
      </c>
      <c r="E10" s="26">
        <f t="shared" si="2"/>
        <v>0</v>
      </c>
      <c r="F10" s="26">
        <f t="shared" si="2"/>
        <v>0</v>
      </c>
      <c r="G10" s="26">
        <f t="shared" si="2"/>
        <v>0</v>
      </c>
      <c r="H10" s="26">
        <f t="shared" si="2"/>
        <v>0</v>
      </c>
      <c r="I10" s="26">
        <f t="shared" si="2"/>
        <v>0</v>
      </c>
      <c r="J10" s="26">
        <f t="shared" si="2"/>
        <v>0</v>
      </c>
      <c r="K10" s="26">
        <f t="shared" si="2"/>
        <v>0</v>
      </c>
      <c r="L10" s="26">
        <f t="shared" si="2"/>
        <v>0</v>
      </c>
      <c r="M10" s="26">
        <f t="shared" si="2"/>
        <v>0</v>
      </c>
      <c r="N10" s="26">
        <f t="shared" si="2"/>
        <v>0</v>
      </c>
      <c r="O10" s="26">
        <f t="shared" si="2"/>
        <v>0</v>
      </c>
      <c r="P10" s="26">
        <f t="shared" si="2"/>
        <v>0</v>
      </c>
      <c r="Q10" s="26">
        <f t="shared" si="2"/>
        <v>0</v>
      </c>
      <c r="R10" s="26">
        <f t="shared" si="2"/>
        <v>0</v>
      </c>
      <c r="S10" s="26">
        <f t="shared" si="2"/>
        <v>0</v>
      </c>
      <c r="T10" s="26">
        <f t="shared" si="2"/>
        <v>0</v>
      </c>
      <c r="U10" s="26">
        <f t="shared" si="2"/>
        <v>0</v>
      </c>
      <c r="V10" s="26">
        <f t="shared" si="2"/>
        <v>0</v>
      </c>
    </row>
    <row r="11" ht="23.25" customHeight="1">
      <c r="A11" s="27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 ht="36.0" customHeight="1">
      <c r="A12" s="25" t="s">
        <v>25</v>
      </c>
      <c r="B12" s="26">
        <f>SUM(B5:B8)</f>
        <v>0</v>
      </c>
      <c r="C12" s="26">
        <f t="shared" ref="C12:V12" si="3">B12-(SUM($B$5:$B$8)/20)</f>
        <v>0</v>
      </c>
      <c r="D12" s="26">
        <f t="shared" si="3"/>
        <v>0</v>
      </c>
      <c r="E12" s="26">
        <f t="shared" si="3"/>
        <v>0</v>
      </c>
      <c r="F12" s="26">
        <f t="shared" si="3"/>
        <v>0</v>
      </c>
      <c r="G12" s="26">
        <f t="shared" si="3"/>
        <v>0</v>
      </c>
      <c r="H12" s="26">
        <f t="shared" si="3"/>
        <v>0</v>
      </c>
      <c r="I12" s="26">
        <f t="shared" si="3"/>
        <v>0</v>
      </c>
      <c r="J12" s="26">
        <f t="shared" si="3"/>
        <v>0</v>
      </c>
      <c r="K12" s="26">
        <f t="shared" si="3"/>
        <v>0</v>
      </c>
      <c r="L12" s="26">
        <f t="shared" si="3"/>
        <v>0</v>
      </c>
      <c r="M12" s="26">
        <f t="shared" si="3"/>
        <v>0</v>
      </c>
      <c r="N12" s="26">
        <f t="shared" si="3"/>
        <v>0</v>
      </c>
      <c r="O12" s="26">
        <f t="shared" si="3"/>
        <v>0</v>
      </c>
      <c r="P12" s="26">
        <f t="shared" si="3"/>
        <v>0</v>
      </c>
      <c r="Q12" s="26">
        <f t="shared" si="3"/>
        <v>0</v>
      </c>
      <c r="R12" s="26">
        <f t="shared" si="3"/>
        <v>0</v>
      </c>
      <c r="S12" s="26">
        <f t="shared" si="3"/>
        <v>0</v>
      </c>
      <c r="T12" s="26">
        <f t="shared" si="3"/>
        <v>0</v>
      </c>
      <c r="U12" s="26">
        <f t="shared" si="3"/>
        <v>0</v>
      </c>
      <c r="V12" s="26">
        <f t="shared" si="3"/>
        <v>0</v>
      </c>
    </row>
    <row r="14">
      <c r="A14" s="28"/>
      <c r="B14" s="29"/>
      <c r="C14" s="28"/>
      <c r="D14" s="28"/>
      <c r="E14" s="28"/>
      <c r="F14" s="28"/>
      <c r="G14" s="28"/>
      <c r="H14" s="28"/>
      <c r="I14" s="28"/>
    </row>
    <row r="15">
      <c r="A15" s="28"/>
      <c r="B15" s="29"/>
      <c r="C15" s="28"/>
      <c r="D15" s="28"/>
      <c r="E15" s="28"/>
      <c r="F15" s="28"/>
      <c r="G15" s="29"/>
      <c r="H15" s="28"/>
      <c r="I15" s="28"/>
    </row>
    <row r="16">
      <c r="A16" s="28"/>
      <c r="B16" s="29"/>
      <c r="C16" s="28"/>
      <c r="D16" s="28"/>
      <c r="E16" s="28"/>
      <c r="F16" s="28"/>
      <c r="G16" s="29"/>
      <c r="H16" s="28"/>
      <c r="I16" s="28"/>
    </row>
    <row r="17">
      <c r="A17" s="28"/>
      <c r="B17" s="29"/>
      <c r="C17" s="28"/>
      <c r="D17" s="28"/>
      <c r="E17" s="28"/>
      <c r="F17" s="28"/>
      <c r="G17" s="29"/>
      <c r="H17" s="28"/>
      <c r="I17" s="28"/>
    </row>
    <row r="18">
      <c r="A18" s="28"/>
      <c r="B18" s="29"/>
      <c r="C18" s="28"/>
      <c r="D18" s="28"/>
      <c r="E18" s="28"/>
      <c r="F18" s="28"/>
      <c r="G18" s="29"/>
      <c r="H18" s="28"/>
      <c r="I18" s="28"/>
    </row>
    <row r="19" ht="15.75" customHeight="1">
      <c r="A19" s="28"/>
      <c r="B19" s="29"/>
      <c r="C19" s="28"/>
      <c r="D19" s="28"/>
      <c r="E19" s="28"/>
      <c r="F19" s="28"/>
      <c r="G19" s="29"/>
      <c r="H19" s="28"/>
      <c r="I19" s="28"/>
    </row>
    <row r="20" ht="15.75" customHeight="1">
      <c r="A20" s="28"/>
      <c r="B20" s="29"/>
      <c r="C20" s="28"/>
      <c r="D20" s="28"/>
      <c r="E20" s="28"/>
      <c r="F20" s="28"/>
      <c r="G20" s="29"/>
      <c r="H20" s="28"/>
      <c r="I20" s="28"/>
    </row>
    <row r="21" ht="15.75" customHeight="1">
      <c r="A21" s="28"/>
      <c r="B21" s="29"/>
      <c r="C21" s="28"/>
      <c r="D21" s="28"/>
      <c r="E21" s="28"/>
      <c r="F21" s="28"/>
      <c r="G21" s="28"/>
      <c r="H21" s="28"/>
      <c r="I21" s="28"/>
    </row>
    <row r="22" ht="15.75" customHeight="1">
      <c r="A22" s="28"/>
      <c r="B22" s="29"/>
      <c r="C22" s="28"/>
      <c r="D22" s="28"/>
      <c r="E22" s="28"/>
      <c r="F22" s="28"/>
      <c r="G22" s="28"/>
      <c r="H22" s="28"/>
      <c r="I22" s="28"/>
    </row>
    <row r="23" ht="15.75" customHeight="1">
      <c r="A23" s="28"/>
      <c r="B23" s="29"/>
      <c r="C23" s="28"/>
      <c r="D23" s="28"/>
      <c r="E23" s="28"/>
      <c r="F23" s="28"/>
      <c r="G23" s="28"/>
      <c r="H23" s="28"/>
      <c r="I23" s="2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1.57"/>
    <col customWidth="1" min="3" max="22" width="7.29"/>
    <col customWidth="1" min="23" max="23" width="9.14"/>
    <col customWidth="1" min="24" max="29" width="10.71"/>
  </cols>
  <sheetData>
    <row r="1" ht="32.25" customHeight="1">
      <c r="A1" s="1" t="s">
        <v>0</v>
      </c>
      <c r="B1" s="2"/>
    </row>
    <row r="2" ht="18.0" customHeight="1"/>
    <row r="3" ht="21.0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4</v>
      </c>
    </row>
    <row r="4" ht="24.0" customHeight="1">
      <c r="A4" s="7"/>
      <c r="B4" s="7"/>
      <c r="C4" s="3">
        <v>1.0</v>
      </c>
      <c r="D4" s="3">
        <v>2.0</v>
      </c>
      <c r="E4" s="3">
        <v>3.0</v>
      </c>
      <c r="F4" s="3">
        <v>4.0</v>
      </c>
      <c r="G4" s="3">
        <v>5.0</v>
      </c>
      <c r="H4" s="3">
        <v>6.0</v>
      </c>
      <c r="I4" s="3">
        <v>7.0</v>
      </c>
      <c r="J4" s="3">
        <v>8.0</v>
      </c>
      <c r="K4" s="3">
        <v>9.0</v>
      </c>
      <c r="L4" s="3">
        <v>10.0</v>
      </c>
      <c r="M4" s="3">
        <v>11.0</v>
      </c>
      <c r="N4" s="3">
        <v>12.0</v>
      </c>
      <c r="O4" s="3">
        <v>13.0</v>
      </c>
      <c r="P4" s="3">
        <v>14.0</v>
      </c>
      <c r="Q4" s="3">
        <v>15.0</v>
      </c>
      <c r="R4" s="3">
        <v>16.0</v>
      </c>
      <c r="S4" s="3">
        <v>17.0</v>
      </c>
      <c r="T4" s="3">
        <v>18.0</v>
      </c>
      <c r="U4" s="3">
        <v>19.0</v>
      </c>
      <c r="V4" s="3">
        <v>20.0</v>
      </c>
      <c r="W4" s="8"/>
    </row>
    <row r="5" ht="47.25" customHeight="1">
      <c r="A5" s="9" t="s">
        <v>5</v>
      </c>
      <c r="B5" s="10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3">
        <f t="shared" ref="W5:W7" si="1">SUM(C5:V5)</f>
        <v>0</v>
      </c>
    </row>
    <row r="6" ht="47.25" customHeight="1">
      <c r="A6" s="13" t="s">
        <v>9</v>
      </c>
      <c r="B6" s="4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>
        <f t="shared" si="1"/>
        <v>0</v>
      </c>
    </row>
    <row r="7" ht="47.25" customHeight="1">
      <c r="A7" s="19" t="s">
        <v>12</v>
      </c>
      <c r="B7" s="18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6">
        <f t="shared" si="1"/>
        <v>0</v>
      </c>
    </row>
    <row r="8" ht="47.25" customHeight="1">
      <c r="A8" s="13" t="s">
        <v>16</v>
      </c>
      <c r="B8" s="4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</row>
    <row r="9" ht="47.25" customHeight="1">
      <c r="A9" s="21" t="s">
        <v>18</v>
      </c>
      <c r="B9" s="22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</row>
    <row r="10" ht="47.25" customHeight="1">
      <c r="A10" s="13" t="s">
        <v>22</v>
      </c>
      <c r="B10" s="4"/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6"/>
    </row>
    <row r="11" ht="47.25" customHeight="1">
      <c r="A11" s="21" t="s">
        <v>24</v>
      </c>
      <c r="B11" s="22"/>
      <c r="C11" s="20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4">
        <f>SUM(C11:V11)</f>
        <v>0</v>
      </c>
    </row>
    <row r="12" ht="23.25" customHeight="1"/>
    <row r="13" ht="34.5" customHeight="1">
      <c r="A13" s="25" t="s">
        <v>23</v>
      </c>
      <c r="B13" s="26">
        <f>SUM(B5:B12)</f>
        <v>0</v>
      </c>
      <c r="C13" s="26">
        <f t="shared" ref="C13:V13" si="2">B13-SUM(C5:C11)</f>
        <v>0</v>
      </c>
      <c r="D13" s="26">
        <f t="shared" si="2"/>
        <v>0</v>
      </c>
      <c r="E13" s="26">
        <f t="shared" si="2"/>
        <v>0</v>
      </c>
      <c r="F13" s="26">
        <f t="shared" si="2"/>
        <v>0</v>
      </c>
      <c r="G13" s="26">
        <f t="shared" si="2"/>
        <v>0</v>
      </c>
      <c r="H13" s="26">
        <f t="shared" si="2"/>
        <v>0</v>
      </c>
      <c r="I13" s="26">
        <f t="shared" si="2"/>
        <v>0</v>
      </c>
      <c r="J13" s="26">
        <f t="shared" si="2"/>
        <v>0</v>
      </c>
      <c r="K13" s="26">
        <f t="shared" si="2"/>
        <v>0</v>
      </c>
      <c r="L13" s="26">
        <f t="shared" si="2"/>
        <v>0</v>
      </c>
      <c r="M13" s="26">
        <f t="shared" si="2"/>
        <v>0</v>
      </c>
      <c r="N13" s="26">
        <f t="shared" si="2"/>
        <v>0</v>
      </c>
      <c r="O13" s="26">
        <f t="shared" si="2"/>
        <v>0</v>
      </c>
      <c r="P13" s="26">
        <f t="shared" si="2"/>
        <v>0</v>
      </c>
      <c r="Q13" s="26">
        <f t="shared" si="2"/>
        <v>0</v>
      </c>
      <c r="R13" s="26">
        <f t="shared" si="2"/>
        <v>0</v>
      </c>
      <c r="S13" s="26">
        <f t="shared" si="2"/>
        <v>0</v>
      </c>
      <c r="T13" s="26">
        <f t="shared" si="2"/>
        <v>0</v>
      </c>
      <c r="U13" s="26">
        <f t="shared" si="2"/>
        <v>0</v>
      </c>
      <c r="V13" s="26">
        <f t="shared" si="2"/>
        <v>0</v>
      </c>
    </row>
    <row r="14" ht="23.25" customHeight="1">
      <c r="A14" s="27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ht="36.0" customHeight="1">
      <c r="A15" s="25" t="s">
        <v>25</v>
      </c>
      <c r="B15" s="26">
        <f>SUM(B5:B11)</f>
        <v>0</v>
      </c>
      <c r="C15" s="26">
        <f t="shared" ref="C15:V15" si="3">B15-(SUM($B$5:$B$11)/20)</f>
        <v>0</v>
      </c>
      <c r="D15" s="26">
        <f t="shared" si="3"/>
        <v>0</v>
      </c>
      <c r="E15" s="26">
        <f t="shared" si="3"/>
        <v>0</v>
      </c>
      <c r="F15" s="26">
        <f t="shared" si="3"/>
        <v>0</v>
      </c>
      <c r="G15" s="26">
        <f t="shared" si="3"/>
        <v>0</v>
      </c>
      <c r="H15" s="26">
        <f t="shared" si="3"/>
        <v>0</v>
      </c>
      <c r="I15" s="26">
        <f t="shared" si="3"/>
        <v>0</v>
      </c>
      <c r="J15" s="26">
        <f t="shared" si="3"/>
        <v>0</v>
      </c>
      <c r="K15" s="26">
        <f t="shared" si="3"/>
        <v>0</v>
      </c>
      <c r="L15" s="26">
        <f t="shared" si="3"/>
        <v>0</v>
      </c>
      <c r="M15" s="26">
        <f t="shared" si="3"/>
        <v>0</v>
      </c>
      <c r="N15" s="26">
        <f t="shared" si="3"/>
        <v>0</v>
      </c>
      <c r="O15" s="26">
        <f t="shared" si="3"/>
        <v>0</v>
      </c>
      <c r="P15" s="26">
        <f t="shared" si="3"/>
        <v>0</v>
      </c>
      <c r="Q15" s="26">
        <f t="shared" si="3"/>
        <v>0</v>
      </c>
      <c r="R15" s="26">
        <f t="shared" si="3"/>
        <v>0</v>
      </c>
      <c r="S15" s="26">
        <f t="shared" si="3"/>
        <v>0</v>
      </c>
      <c r="T15" s="26">
        <f t="shared" si="3"/>
        <v>0</v>
      </c>
      <c r="U15" s="26">
        <f t="shared" si="3"/>
        <v>0</v>
      </c>
      <c r="V15" s="26">
        <f t="shared" si="3"/>
        <v>0</v>
      </c>
    </row>
    <row r="17">
      <c r="A17" s="28"/>
      <c r="B17" s="29"/>
      <c r="C17" s="28"/>
      <c r="D17" s="28"/>
      <c r="E17" s="28"/>
      <c r="F17" s="28"/>
      <c r="G17" s="28"/>
      <c r="H17" s="28"/>
      <c r="I17" s="28"/>
    </row>
    <row r="18">
      <c r="A18" s="28"/>
      <c r="B18" s="29"/>
      <c r="C18" s="28"/>
      <c r="D18" s="28"/>
      <c r="E18" s="28"/>
      <c r="F18" s="28"/>
      <c r="G18" s="29"/>
      <c r="H18" s="28"/>
      <c r="I18" s="28"/>
    </row>
    <row r="19">
      <c r="A19" s="28"/>
      <c r="B19" s="29"/>
      <c r="C19" s="28"/>
      <c r="D19" s="28"/>
      <c r="E19" s="28"/>
      <c r="F19" s="28"/>
      <c r="G19" s="29"/>
      <c r="H19" s="28"/>
      <c r="I19" s="28"/>
    </row>
    <row r="20">
      <c r="A20" s="28"/>
      <c r="B20" s="29"/>
      <c r="C20" s="28"/>
      <c r="D20" s="28"/>
      <c r="E20" s="28"/>
      <c r="F20" s="28"/>
      <c r="G20" s="29"/>
      <c r="H20" s="28"/>
      <c r="I20" s="28"/>
    </row>
    <row r="21">
      <c r="A21" s="28"/>
      <c r="B21" s="29"/>
      <c r="C21" s="28"/>
      <c r="D21" s="28"/>
      <c r="E21" s="28"/>
      <c r="F21" s="28"/>
      <c r="G21" s="29"/>
      <c r="H21" s="28"/>
      <c r="I21" s="28"/>
    </row>
    <row r="22" ht="15.75" customHeight="1">
      <c r="A22" s="28"/>
      <c r="B22" s="29"/>
      <c r="C22" s="28"/>
      <c r="D22" s="28"/>
      <c r="E22" s="28"/>
      <c r="F22" s="28"/>
      <c r="G22" s="29"/>
      <c r="H22" s="28"/>
      <c r="I22" s="28"/>
    </row>
    <row r="23" ht="15.75" customHeight="1">
      <c r="A23" s="28"/>
      <c r="B23" s="29"/>
      <c r="C23" s="28"/>
      <c r="D23" s="28"/>
      <c r="E23" s="28"/>
      <c r="F23" s="28"/>
      <c r="G23" s="29"/>
      <c r="H23" s="28"/>
      <c r="I23" s="28"/>
    </row>
    <row r="24" ht="15.75" customHeight="1">
      <c r="A24" s="28"/>
      <c r="B24" s="29"/>
      <c r="C24" s="28"/>
      <c r="D24" s="28"/>
      <c r="E24" s="28"/>
      <c r="F24" s="28"/>
      <c r="G24" s="28"/>
      <c r="H24" s="28"/>
      <c r="I24" s="28"/>
    </row>
    <row r="25" ht="15.75" customHeight="1">
      <c r="A25" s="28"/>
      <c r="B25" s="29"/>
      <c r="C25" s="28"/>
      <c r="D25" s="28"/>
      <c r="E25" s="28"/>
      <c r="F25" s="28"/>
      <c r="G25" s="28"/>
      <c r="H25" s="28"/>
      <c r="I25" s="28"/>
    </row>
    <row r="26" ht="15.75" customHeight="1">
      <c r="A26" s="28"/>
      <c r="B26" s="29"/>
      <c r="C26" s="28"/>
      <c r="D26" s="28"/>
      <c r="E26" s="28"/>
      <c r="F26" s="28"/>
      <c r="G26" s="28"/>
      <c r="H26" s="28"/>
      <c r="I26" s="2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