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9B9FBA0F-FB6E-4012-9D04-05E779638DA7}" xr6:coauthVersionLast="47" xr6:coauthVersionMax="47" xr10:uidLastSave="{00000000-0000-0000-0000-000000000000}"/>
  <bookViews>
    <workbookView xWindow="-120" yWindow="-120" windowWidth="29040" windowHeight="1644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9" i="11" l="1"/>
  <c r="F9" i="11" s="1"/>
  <c r="E10" i="11" l="1"/>
  <c r="I5" i="11"/>
  <c r="H34" i="11"/>
  <c r="H26" i="11"/>
  <c r="H23" i="11"/>
  <c r="H17" i="11"/>
  <c r="H13" i="11"/>
  <c r="H8" i="11"/>
  <c r="F10" i="11" l="1"/>
  <c r="E11" i="11" s="1"/>
  <c r="H9" i="11"/>
  <c r="I6" i="11"/>
  <c r="F11" i="11" l="1"/>
  <c r="E12" i="11" s="1"/>
  <c r="J5" i="11"/>
  <c r="K5" i="11" s="1"/>
  <c r="L5" i="11" s="1"/>
  <c r="M5" i="11" s="1"/>
  <c r="N5" i="11" s="1"/>
  <c r="O5" i="11" s="1"/>
  <c r="P5" i="11" s="1"/>
  <c r="I4" i="11"/>
  <c r="F12" i="11" l="1"/>
  <c r="E14" i="11" s="1"/>
  <c r="H10" i="11"/>
  <c r="H11" i="11"/>
  <c r="H12" i="11"/>
  <c r="P4" i="11"/>
  <c r="Q5" i="11"/>
  <c r="R5" i="11" s="1"/>
  <c r="S5" i="11" s="1"/>
  <c r="T5" i="11" s="1"/>
  <c r="U5" i="11" s="1"/>
  <c r="V5" i="11" s="1"/>
  <c r="W5" i="11" s="1"/>
  <c r="J6" i="11"/>
  <c r="F14" i="11" l="1"/>
  <c r="E15" i="11" s="1"/>
  <c r="F15" i="11" s="1"/>
  <c r="E16" i="11" s="1"/>
  <c r="F16" i="11" s="1"/>
  <c r="E18" i="11" s="1"/>
  <c r="F18" i="11" s="1"/>
  <c r="E19" i="11" s="1"/>
  <c r="H14" i="11"/>
  <c r="H18" i="11"/>
  <c r="F19" i="11"/>
  <c r="E20" i="11" s="1"/>
  <c r="H16" i="11"/>
  <c r="H15" i="11"/>
  <c r="W4" i="11"/>
  <c r="X5" i="11"/>
  <c r="Y5" i="11" s="1"/>
  <c r="Z5" i="11" s="1"/>
  <c r="AA5" i="11" s="1"/>
  <c r="AB5" i="11" s="1"/>
  <c r="AC5" i="11" s="1"/>
  <c r="AD5" i="11" s="1"/>
  <c r="K6" i="11"/>
  <c r="F20" i="11" l="1"/>
  <c r="E21" i="11" s="1"/>
  <c r="F21" i="11" s="1"/>
  <c r="H19" i="11"/>
  <c r="AE5" i="11"/>
  <c r="AF5" i="11" s="1"/>
  <c r="AG5" i="11" s="1"/>
  <c r="AH5" i="11" s="1"/>
  <c r="AI5" i="11" s="1"/>
  <c r="AJ5" i="11" s="1"/>
  <c r="AD4" i="11"/>
  <c r="L6" i="11"/>
  <c r="H20" i="11" l="1"/>
  <c r="E22" i="11"/>
  <c r="F22" i="11" s="1"/>
  <c r="AK5" i="11"/>
  <c r="AL5" i="11" s="1"/>
  <c r="AM5" i="11" s="1"/>
  <c r="AN5" i="11" s="1"/>
  <c r="AO5" i="11" s="1"/>
  <c r="AP5" i="11" s="1"/>
  <c r="AQ5" i="11" s="1"/>
  <c r="M6" i="11"/>
  <c r="H21" i="11" l="1"/>
  <c r="E24" i="11"/>
  <c r="F24" i="11" s="1"/>
  <c r="AR5" i="11"/>
  <c r="AS5" i="11" s="1"/>
  <c r="AK4" i="11"/>
  <c r="N6" i="11"/>
  <c r="H22" i="11" l="1"/>
  <c r="E25" i="11"/>
  <c r="AT5" i="11"/>
  <c r="AS6" i="11"/>
  <c r="AR4" i="11"/>
  <c r="O6" i="11"/>
  <c r="F25" i="11" l="1"/>
  <c r="E27" i="11" s="1"/>
  <c r="F27" i="11" s="1"/>
  <c r="E28" i="11" s="1"/>
  <c r="F28" i="11" s="1"/>
  <c r="E29" i="11" s="1"/>
  <c r="F29" i="11" s="1"/>
  <c r="H24" i="11"/>
  <c r="AU5" i="11"/>
  <c r="AT6" i="11"/>
  <c r="E30" i="11" l="1"/>
  <c r="F30" i="11"/>
  <c r="E32" i="11" s="1"/>
  <c r="F32" i="11" s="1"/>
  <c r="E33" i="11" s="1"/>
  <c r="F33" i="11" s="1"/>
  <c r="H25" i="11"/>
  <c r="AV5" i="11"/>
  <c r="AU6" i="11"/>
  <c r="P6" i="11"/>
  <c r="Q6" i="11"/>
  <c r="AW5" i="11" l="1"/>
  <c r="AV6" i="11"/>
  <c r="R6" i="11"/>
  <c r="AX5" i="11" l="1"/>
  <c r="AW6" i="11"/>
  <c r="AY5" i="11" l="1"/>
  <c r="AZ5" i="11" s="1"/>
  <c r="AX6" i="11"/>
  <c r="T6" i="11"/>
  <c r="AY4" i="11" l="1"/>
  <c r="S6" i="11" s="1"/>
  <c r="AY6" i="11"/>
  <c r="BA5" i="11"/>
  <c r="AZ6" i="11"/>
  <c r="U6" i="11"/>
  <c r="BA6" i="11" l="1"/>
  <c r="BB5" i="11"/>
  <c r="V6" i="11"/>
  <c r="BB6" i="11" l="1"/>
  <c r="BC5" i="11"/>
  <c r="W6" i="11"/>
  <c r="BC6" i="11" l="1"/>
  <c r="BD5" i="11"/>
  <c r="X6" i="11"/>
  <c r="BE5" i="11" l="1"/>
  <c r="BD6" i="11"/>
  <c r="Y6" i="11"/>
  <c r="BE6" i="11" l="1"/>
  <c r="BF5" i="11"/>
  <c r="BF4" i="11" s="1"/>
  <c r="BF6" i="11" l="1"/>
  <c r="BG5" i="11"/>
  <c r="Z6" i="11"/>
  <c r="AA6" i="11"/>
  <c r="BG6" i="11" l="1"/>
  <c r="BH5" i="11"/>
  <c r="AB6" i="11"/>
  <c r="BI5" i="11" l="1"/>
  <c r="BH6" i="11"/>
  <c r="AC6" i="11"/>
  <c r="BJ5" i="11" l="1"/>
  <c r="BI6" i="11"/>
  <c r="AD6" i="11"/>
  <c r="BK5" i="11" l="1"/>
  <c r="BJ6" i="11"/>
  <c r="AE6" i="11"/>
  <c r="BL5" i="11" l="1"/>
  <c r="BM5" i="11" s="1"/>
  <c r="BK6" i="11"/>
  <c r="AF6" i="11"/>
  <c r="BN5" i="11" l="1"/>
  <c r="BM4" i="11"/>
  <c r="BM6" i="11"/>
  <c r="BL6" i="11"/>
  <c r="AG6" i="11"/>
  <c r="BN6" i="11" l="1"/>
  <c r="BO5" i="11"/>
  <c r="AH6" i="11"/>
  <c r="BO6" i="11" l="1"/>
  <c r="BP5" i="11"/>
  <c r="AI6" i="11"/>
  <c r="BQ5" i="11" l="1"/>
  <c r="BP6" i="11"/>
  <c r="AJ6" i="11"/>
  <c r="BR5" i="11" l="1"/>
  <c r="BQ6" i="11"/>
  <c r="AK6" i="11"/>
  <c r="BR6" i="11" l="1"/>
  <c r="BS5" i="11"/>
  <c r="AL6" i="11"/>
  <c r="BS6" i="11" l="1"/>
  <c r="BT5" i="11"/>
  <c r="AM6" i="11"/>
  <c r="BT4" i="11" l="1"/>
  <c r="BT6" i="11"/>
  <c r="BU5" i="11"/>
  <c r="AN6" i="11"/>
  <c r="BU6" i="11" l="1"/>
  <c r="BV5" i="11"/>
  <c r="AO6" i="11"/>
  <c r="BW5" i="11" l="1"/>
  <c r="BV6" i="11"/>
  <c r="AP6" i="11"/>
  <c r="BX5" i="11" l="1"/>
  <c r="BW6" i="11"/>
  <c r="AQ6" i="11"/>
  <c r="BY5" i="11" l="1"/>
  <c r="BX6" i="11"/>
  <c r="AR6" i="11"/>
  <c r="BY6" i="11" l="1"/>
  <c r="BZ5" i="11"/>
  <c r="BZ6" i="11" l="1"/>
  <c r="CA5" i="11"/>
  <c r="CA4" i="11" l="1"/>
  <c r="CA6" i="11"/>
  <c r="CB5" i="11"/>
  <c r="CC5" i="11" l="1"/>
  <c r="CB6" i="11"/>
  <c r="CD5" i="11" l="1"/>
  <c r="CC6" i="11"/>
  <c r="CD6" i="11" l="1"/>
  <c r="CE5" i="11"/>
  <c r="CE6" i="11" l="1"/>
  <c r="CF5" i="11"/>
  <c r="CF6" i="11" l="1"/>
  <c r="CG5" i="11"/>
  <c r="CG6" i="11" l="1"/>
  <c r="CH5" i="11"/>
  <c r="CH6" i="11" l="1"/>
  <c r="CH4" i="11"/>
  <c r="CI5" i="11"/>
  <c r="CI6" i="11" l="1"/>
  <c r="CJ5" i="11"/>
  <c r="CK5" i="11" l="1"/>
  <c r="CJ6" i="11"/>
  <c r="CL5" i="11" l="1"/>
  <c r="CK6" i="11"/>
  <c r="CM5" i="11" l="1"/>
  <c r="CL6" i="11"/>
  <c r="CM6" i="11" l="1"/>
  <c r="CN5" i="11"/>
  <c r="CN6" i="11" l="1"/>
  <c r="CO5" i="11"/>
  <c r="CP5" i="11" l="1"/>
  <c r="CO6" i="11"/>
  <c r="CO4" i="11"/>
  <c r="CP6" i="11" l="1"/>
  <c r="CQ5" i="11"/>
  <c r="CQ6" i="11" l="1"/>
  <c r="CR5" i="11"/>
  <c r="CR6" i="11" l="1"/>
  <c r="CS5" i="11"/>
  <c r="CS6" i="11" l="1"/>
  <c r="CT5" i="11"/>
  <c r="CT6" i="11" l="1"/>
  <c r="CU5" i="11"/>
  <c r="CU6" i="11" l="1"/>
  <c r="CV5" i="11"/>
  <c r="CV4" i="11" l="1"/>
  <c r="CV6" i="11"/>
  <c r="CW5" i="11"/>
  <c r="CW6" i="11" l="1"/>
  <c r="CX5" i="11"/>
  <c r="CX6" i="11" l="1"/>
  <c r="CY5" i="11"/>
  <c r="CY6" i="11" l="1"/>
  <c r="CZ5" i="11"/>
  <c r="CZ6" i="11" l="1"/>
  <c r="DA5" i="11"/>
  <c r="DA6" i="11" l="1"/>
  <c r="DB5" i="11"/>
  <c r="DB6" i="11" l="1"/>
  <c r="DC5" i="11"/>
  <c r="DC4" i="11" l="1"/>
  <c r="DC6" i="11"/>
  <c r="DD5" i="11"/>
  <c r="DD6" i="11" l="1"/>
  <c r="DE5" i="11"/>
  <c r="DE6" i="11" l="1"/>
  <c r="DF5" i="11"/>
  <c r="DF6" i="11" l="1"/>
  <c r="DG5" i="11"/>
  <c r="DG6" i="11" l="1"/>
  <c r="DH5" i="11"/>
  <c r="DH6" i="11" l="1"/>
  <c r="DI5" i="11"/>
  <c r="DI6" i="11" l="1"/>
  <c r="DJ5" i="11"/>
  <c r="DJ6" i="11" l="1"/>
  <c r="DK5" i="11"/>
  <c r="DJ4" i="11"/>
  <c r="DK6" i="11" l="1"/>
  <c r="DL5" i="11"/>
  <c r="DL6" i="11" l="1"/>
  <c r="DM5" i="11"/>
  <c r="DM6" i="11" l="1"/>
  <c r="DN5" i="11"/>
  <c r="DN6" i="11" l="1"/>
  <c r="DO5" i="11"/>
  <c r="DO6" i="11" l="1"/>
  <c r="DP5" i="11"/>
  <c r="DP6" i="11" s="1"/>
</calcChain>
</file>

<file path=xl/sharedStrings.xml><?xml version="1.0" encoding="utf-8"?>
<sst xmlns="http://schemas.openxmlformats.org/spreadsheetml/2006/main" count="92" uniqueCount="71">
  <si>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</si>
  <si>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</si>
  <si>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</si>
  <si>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</si>
  <si>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</si>
  <si>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</si>
  <si>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</si>
  <si>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</si>
  <si>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</si>
  <si>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</si>
  <si>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</si>
  <si>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</si>
  <si>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</si>
  <si>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</si>
  <si>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</si>
  <si>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</si>
  <si>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</si>
  <si>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</si>
  <si>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</si>
  <si>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</si>
  <si>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</si>
  <si>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</si>
  <si>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</si>
  <si>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</si>
  <si>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</si>
  <si>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</si>
  <si>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</si>
  <si>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</si>
  <si>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</si>
  <si>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</si>
  <si>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</si>
  <si>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</si>
  <si>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</si>
  <si>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</si>
  <si>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</si>
  <si>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</si>
  <si>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</si>
  <si>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</si>
  <si>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</si>
  <si>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</si>
  <si>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 xml:space="preserve">MoreFood Corp </t>
  </si>
  <si>
    <t>Implementación de Modelo Predictivo de Precipitaciones para la Optimización Hídrica en Australia.</t>
  </si>
  <si>
    <t>FASE I: Comprensión del Negocio</t>
  </si>
  <si>
    <t>Definición de Misión, Visión y Contexto de MFC</t>
  </si>
  <si>
    <t>Definición de KPIs de Negocio y Criterios de Éxito</t>
  </si>
  <si>
    <t>Evaluación de Riesgos Técnicos y Marco Ético</t>
  </si>
  <si>
    <t>Alejandra R</t>
  </si>
  <si>
    <t>Yamilet M</t>
  </si>
  <si>
    <t>FASE II: Conocimiento de los Datos</t>
  </si>
  <si>
    <t>Identificación de Problemática y Obj de Negocio</t>
  </si>
  <si>
    <t>FASE III: Preparación de los Datos</t>
  </si>
  <si>
    <t xml:space="preserve"> FASE IV: Modelado </t>
  </si>
  <si>
    <t>Verificación de Calidad: Identificación de Nulos y Outliers</t>
  </si>
  <si>
    <t>Análisis de Correlación y Desbalanceo de Clases</t>
  </si>
  <si>
    <t>Descripción y Exploración Estadistica</t>
  </si>
  <si>
    <t>Total de Semanas = 16</t>
  </si>
  <si>
    <t>Limpieza e Imputación de Valores Faltantes</t>
  </si>
  <si>
    <t>Tratamiento de Outliers</t>
  </si>
  <si>
    <t>Transformación de Variables</t>
  </si>
  <si>
    <t>Selección de Atributos y Manejo de Multicolinealidad</t>
  </si>
  <si>
    <t>Pipeline Pre-modelo</t>
  </si>
  <si>
    <t>Justificación</t>
  </si>
  <si>
    <t>Selección de Algoritmos de Clasificación Binaria</t>
  </si>
  <si>
    <t xml:space="preserve"> Entrenamiento y Ajuste de Hiperparámetros</t>
  </si>
  <si>
    <t xml:space="preserve">Evaluación de Métricas Técnicas </t>
  </si>
  <si>
    <t xml:space="preserve"> FASE V: Despliegue</t>
  </si>
  <si>
    <t xml:space="preserve"> FASE V: Evaluación</t>
  </si>
  <si>
    <t>Validación de Resultados frente a Objetivos de Negocio</t>
  </si>
  <si>
    <t>Script Modelo</t>
  </si>
  <si>
    <t>Documentación de Hallazgos y Lecciones Aprendidas</t>
  </si>
  <si>
    <t xml:space="preserve">Presentación de Resultados a MoreFood Corp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</si>
</sst>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8"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2"/>
      <color theme="1" tint="0.34998626667073579"/>
      <name val="Calibri"/>
      <family val="2"/>
      <scheme val="major"/>
    </font>
    <font>
      <sz val="8"/>
      <name val="Calibri"/>
      <family val="2"/>
      <scheme val="minor"/>
    </font>
  </fonts>
  <fills count="5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8" tint="0.79998168889431442"/>
        <bgColor indexed="64"/>
      </patternFill>
    </fill>
    <fill>
      <patternFill patternType="solid">
        <fgColor rgb="FF3969AD"/>
        <bgColor indexed="64"/>
      </patternFill>
    </fill>
    <fill>
      <patternFill patternType="solid">
        <fgColor theme="3" tint="0.79998168889431442"/>
        <bgColor indexed="64"/>
      </patternFill>
    </fill>
    <fill>
      <patternFill patternType="solid">
        <fgColor theme="5" tint="-0.249977111117893"/>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8" fontId="8" fillId="0" borderId="3">
      <alignment horizontal="center" vertical="center"/>
    </xf>
    <xf numFmtId="170"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4"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5" fillId="0" borderId="0" applyNumberFormat="0" applyFill="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17" borderId="11" applyNumberFormat="0" applyAlignment="0" applyProtection="0"/>
    <xf numFmtId="0" fontId="30" fillId="18" borderId="12" applyNumberFormat="0" applyAlignment="0" applyProtection="0"/>
    <xf numFmtId="0" fontId="31" fillId="18" borderId="11" applyNumberFormat="0" applyAlignment="0" applyProtection="0"/>
    <xf numFmtId="0" fontId="32" fillId="0" borderId="13" applyNumberFormat="0" applyFill="0" applyAlignment="0" applyProtection="0"/>
    <xf numFmtId="0" fontId="33" fillId="19" borderId="14" applyNumberFormat="0" applyAlignment="0" applyProtection="0"/>
    <xf numFmtId="0" fontId="34" fillId="0" borderId="0" applyNumberFormat="0" applyFill="0" applyBorder="0" applyAlignment="0" applyProtection="0"/>
    <xf numFmtId="0" fontId="8" fillId="20" borderId="15" applyNumberFormat="0" applyFont="0" applyAlignment="0" applyProtection="0"/>
    <xf numFmtId="0" fontId="35"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06">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1" fillId="0" borderId="0" xfId="0" applyFont="1" applyAlignment="1">
      <alignment horizontal="left" vertical="top"/>
    </xf>
    <xf numFmtId="0" fontId="17"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21" fillId="0" borderId="0" xfId="3"/>
    <xf numFmtId="0" fontId="21" fillId="0" borderId="0" xfId="3" applyAlignment="1">
      <alignment wrapText="1"/>
    </xf>
    <xf numFmtId="0" fontId="21" fillId="0" borderId="0" xfId="0" applyFont="1" applyAlignment="1">
      <alignment horizontal="center"/>
    </xf>
    <xf numFmtId="0" fontId="0" fillId="0" borderId="0" xfId="0" applyAlignment="1">
      <alignment wrapText="1"/>
    </xf>
    <xf numFmtId="0" fontId="9" fillId="0" borderId="0" xfId="6"/>
    <xf numFmtId="0" fontId="9" fillId="0" borderId="0" xfId="7">
      <alignment vertical="top"/>
    </xf>
    <xf numFmtId="0" fontId="8" fillId="8" borderId="2" xfId="11" applyFill="1">
      <alignment horizontal="center" vertical="center"/>
    </xf>
    <xf numFmtId="0" fontId="8" fillId="3" borderId="2" xfId="11" applyFill="1">
      <alignment horizontal="center" vertical="center"/>
    </xf>
    <xf numFmtId="0" fontId="8" fillId="9" borderId="2" xfId="11" applyFill="1">
      <alignment horizontal="center" vertical="center"/>
    </xf>
    <xf numFmtId="0" fontId="8" fillId="4" borderId="2" xfId="11" applyFill="1">
      <alignment horizontal="center" vertical="center"/>
    </xf>
    <xf numFmtId="0" fontId="8" fillId="6" borderId="2" xfId="11" applyFill="1">
      <alignment horizontal="center" vertical="center"/>
    </xf>
    <xf numFmtId="0" fontId="8" fillId="11"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0" fillId="0" borderId="10" xfId="0" applyBorder="1"/>
    <xf numFmtId="0" fontId="22" fillId="0" borderId="0" xfId="0" applyFont="1"/>
    <xf numFmtId="0" fontId="23" fillId="0" borderId="0" xfId="1" applyFont="1" applyProtection="1">
      <alignment vertical="top"/>
    </xf>
    <xf numFmtId="0" fontId="4" fillId="0" borderId="0" xfId="0" applyFont="1" applyAlignment="1">
      <alignment vertical="top"/>
    </xf>
    <xf numFmtId="170" fontId="0" fillId="8" borderId="2" xfId="0" applyNumberFormat="1" applyFill="1" applyBorder="1" applyAlignment="1">
      <alignment horizontal="center" vertical="center"/>
    </xf>
    <xf numFmtId="170" fontId="4"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4"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8" fillId="11" borderId="2" xfId="10" applyFill="1">
      <alignment horizontal="center" vertical="center"/>
    </xf>
    <xf numFmtId="170" fontId="0" fillId="5" borderId="2" xfId="0" applyNumberFormat="1" applyFill="1" applyBorder="1" applyAlignment="1">
      <alignment horizontal="center" vertical="center"/>
    </xf>
    <xf numFmtId="170" fontId="4" fillId="5" borderId="2" xfId="0" applyNumberFormat="1" applyFont="1" applyFill="1" applyBorder="1" applyAlignment="1">
      <alignment horizontal="center" vertical="center"/>
    </xf>
    <xf numFmtId="170" fontId="3" fillId="2" borderId="2" xfId="0" applyNumberFormat="1" applyFont="1" applyFill="1" applyBorder="1" applyAlignment="1">
      <alignment horizontal="left" vertical="center"/>
    </xf>
    <xf numFmtId="170" fontId="4" fillId="2" borderId="2" xfId="0" applyNumberFormat="1" applyFont="1" applyFill="1" applyBorder="1" applyAlignment="1">
      <alignment horizontal="center" vertical="center"/>
    </xf>
    <xf numFmtId="171" fontId="10" fillId="7" borderId="6" xfId="0" applyNumberFormat="1" applyFont="1" applyFill="1" applyBorder="1" applyAlignment="1">
      <alignment horizontal="center" vertical="center"/>
    </xf>
    <xf numFmtId="171" fontId="10" fillId="7" borderId="0" xfId="0" applyNumberFormat="1" applyFont="1" applyFill="1" applyAlignment="1">
      <alignment horizontal="center" vertical="center"/>
    </xf>
    <xf numFmtId="171" fontId="10" fillId="7" borderId="7" xfId="0" applyNumberFormat="1" applyFont="1" applyFill="1" applyBorder="1" applyAlignment="1">
      <alignment horizontal="center" vertical="center"/>
    </xf>
    <xf numFmtId="170" fontId="8" fillId="3" borderId="2" xfId="10" applyFill="1">
      <alignment horizontal="center" vertical="center"/>
    </xf>
    <xf numFmtId="170" fontId="8" fillId="4" borderId="2" xfId="10" applyFill="1">
      <alignment horizontal="center" vertical="center"/>
    </xf>
    <xf numFmtId="170" fontId="8" fillId="10" borderId="2" xfId="10" applyFill="1">
      <alignment horizontal="center" vertical="center"/>
    </xf>
    <xf numFmtId="0" fontId="8" fillId="3" borderId="2" xfId="12" applyFill="1" applyAlignment="1">
      <alignment horizontal="left" vertical="center" wrapText="1" indent="2"/>
    </xf>
    <xf numFmtId="0" fontId="8" fillId="4" borderId="2" xfId="12" applyFill="1" applyAlignment="1">
      <alignment horizontal="left" vertical="center" wrapText="1" indent="2"/>
    </xf>
    <xf numFmtId="0" fontId="8" fillId="11" borderId="2" xfId="12" applyFill="1" applyAlignment="1">
      <alignment horizontal="left" vertical="center" wrapText="1" indent="2"/>
    </xf>
    <xf numFmtId="0" fontId="5" fillId="5" borderId="2" xfId="0" applyFont="1" applyFill="1" applyBorder="1" applyAlignment="1">
      <alignment horizontal="left" vertical="center" wrapText="1" indent="1"/>
    </xf>
    <xf numFmtId="0" fontId="8" fillId="10" borderId="2" xfId="12" applyFill="1" applyAlignment="1">
      <alignment horizontal="left" vertical="center" wrapText="1" indent="2"/>
    </xf>
    <xf numFmtId="0" fontId="5" fillId="45" borderId="2" xfId="0" applyFont="1" applyFill="1" applyBorder="1" applyAlignment="1">
      <alignment horizontal="left" vertical="center" wrapText="1" indent="1"/>
    </xf>
    <xf numFmtId="0" fontId="8" fillId="45" borderId="2" xfId="11" applyFill="1">
      <alignment horizontal="center" vertical="center"/>
    </xf>
    <xf numFmtId="9" fontId="4" fillId="45" borderId="2" xfId="2" applyFont="1" applyFill="1" applyBorder="1" applyAlignment="1">
      <alignment horizontal="center" vertical="center"/>
    </xf>
    <xf numFmtId="170" fontId="0" fillId="45" borderId="2" xfId="0" applyNumberFormat="1" applyFill="1" applyBorder="1" applyAlignment="1">
      <alignment horizontal="center" vertical="center"/>
    </xf>
    <xf numFmtId="170" fontId="4" fillId="45" borderId="2" xfId="0" applyNumberFormat="1" applyFont="1" applyFill="1" applyBorder="1" applyAlignment="1">
      <alignment horizontal="center" vertical="center"/>
    </xf>
    <xf numFmtId="0" fontId="8" fillId="46" borderId="2" xfId="12" applyFill="1" applyAlignment="1">
      <alignment horizontal="left" vertical="center" wrapText="1" indent="2"/>
    </xf>
    <xf numFmtId="0" fontId="8" fillId="46" borderId="2" xfId="11" applyFill="1">
      <alignment horizontal="center" vertical="center"/>
    </xf>
    <xf numFmtId="9" fontId="4" fillId="46" borderId="2" xfId="2" applyFont="1" applyFill="1" applyBorder="1" applyAlignment="1">
      <alignment horizontal="center" vertical="center"/>
    </xf>
    <xf numFmtId="170" fontId="8" fillId="46" borderId="2" xfId="10" applyFill="1">
      <alignment horizontal="center" vertical="center"/>
    </xf>
    <xf numFmtId="0" fontId="5" fillId="47" borderId="2" xfId="0" applyFont="1" applyFill="1" applyBorder="1" applyAlignment="1">
      <alignment horizontal="left" vertical="center" wrapText="1" indent="1"/>
    </xf>
    <xf numFmtId="0" fontId="8" fillId="47" borderId="2" xfId="11" applyFill="1">
      <alignment horizontal="center" vertical="center"/>
    </xf>
    <xf numFmtId="9" fontId="4" fillId="47" borderId="2" xfId="2" applyFont="1" applyFill="1" applyBorder="1" applyAlignment="1">
      <alignment horizontal="center" vertical="center"/>
    </xf>
    <xf numFmtId="170" fontId="0" fillId="47" borderId="2" xfId="0" applyNumberFormat="1" applyFill="1" applyBorder="1" applyAlignment="1">
      <alignment horizontal="center" vertical="center"/>
    </xf>
    <xf numFmtId="170" fontId="4" fillId="47" borderId="2" xfId="0" applyNumberFormat="1" applyFont="1" applyFill="1" applyBorder="1" applyAlignment="1">
      <alignment horizontal="center" vertical="center"/>
    </xf>
    <xf numFmtId="0" fontId="8" fillId="48" borderId="2" xfId="12" applyFill="1" applyAlignment="1">
      <alignment horizontal="left" vertical="center" wrapText="1" indent="2"/>
    </xf>
    <xf numFmtId="0" fontId="8" fillId="48" borderId="2" xfId="11" applyFill="1">
      <alignment horizontal="center" vertical="center"/>
    </xf>
    <xf numFmtId="9" fontId="4" fillId="48" borderId="2" xfId="2" applyFont="1" applyFill="1" applyBorder="1" applyAlignment="1">
      <alignment horizontal="center" vertical="center"/>
    </xf>
    <xf numFmtId="170" fontId="8" fillId="48" borderId="2" xfId="10" applyFill="1">
      <alignment horizontal="center" vertical="center"/>
    </xf>
    <xf numFmtId="0" fontId="0" fillId="49" borderId="9" xfId="0" applyFill="1" applyBorder="1" applyAlignment="1">
      <alignment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36" fillId="0" borderId="0" xfId="5" applyFont="1" applyAlignment="1">
      <alignment horizontal="center" vertical="center" wrapText="1"/>
    </xf>
    <xf numFmtId="168" fontId="8" fillId="0" borderId="3" xfId="9">
      <alignment horizontal="center" vertical="center"/>
    </xf>
    <xf numFmtId="0" fontId="8" fillId="0" borderId="0" xfId="8">
      <alignment horizontal="right" indent="1"/>
    </xf>
    <xf numFmtId="0" fontId="8"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3">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969AD"/>
      <color rgb="FF215881"/>
      <color rgb="FF42648A"/>
      <color rgb="FF969696"/>
      <color rgb="FFC0C0C0"/>
      <color rgb="FF427FC2"/>
      <color rgb="FF44678E"/>
      <color rgb="FF4A6F9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37"/>
  <sheetViews>
    <sheetView showGridLines="0" tabSelected="1" showRuler="0" zoomScaleNormal="100" zoomScalePageLayoutView="70" workbookViewId="0">
      <pane ySplit="6" topLeftCell="A8" activePane="bottomLeft" state="frozen"/>
      <selection pane="bottomLeft" activeCell="D34" sqref="D34"/>
    </sheetView>
  </sheetViews>
  <sheetFormatPr baseColWidth="10" defaultColWidth="9.140625" defaultRowHeight="30" customHeight="1" x14ac:dyDescent="0.25"/>
  <cols>
    <col min="1" max="1" width="2.7109375" style="40" customWidth="1"/>
    <col min="2" max="2" width="39" customWidth="1"/>
    <col min="3" max="3" width="30.7109375" customWidth="1"/>
    <col min="4" max="4" width="10.7109375" customWidth="1"/>
    <col min="5" max="5" width="10.42578125" style="3" customWidth="1"/>
    <col min="6" max="6" width="10.42578125" customWidth="1"/>
    <col min="7" max="7" width="2.7109375" customWidth="1"/>
    <col min="8" max="8" width="9.42578125" hidden="1" customWidth="1"/>
    <col min="9" max="64" width="3.28515625" customWidth="1"/>
    <col min="65" max="70" width="2.7109375" bestFit="1" customWidth="1"/>
    <col min="71" max="71" width="3.7109375" customWidth="1"/>
    <col min="72" max="77" width="2.7109375" bestFit="1" customWidth="1"/>
    <col min="78" max="78" width="3.5703125" customWidth="1"/>
    <col min="79" max="84" width="2.7109375" bestFit="1" customWidth="1"/>
    <col min="85" max="85" width="4.5703125" customWidth="1"/>
    <col min="86" max="86" width="1.85546875" bestFit="1" customWidth="1"/>
    <col min="87" max="88" width="2.28515625" bestFit="1" customWidth="1"/>
    <col min="89" max="91" width="1.85546875" bestFit="1" customWidth="1"/>
    <col min="92" max="92" width="6" customWidth="1"/>
    <col min="93" max="93" width="1.85546875" bestFit="1" customWidth="1"/>
    <col min="94" max="94" width="2.28515625" bestFit="1" customWidth="1"/>
    <col min="95" max="98" width="2.7109375" bestFit="1" customWidth="1"/>
    <col min="99" max="99" width="4" customWidth="1"/>
    <col min="100" max="115" width="2.7109375" bestFit="1" customWidth="1"/>
    <col min="116" max="116" width="3.42578125" customWidth="1"/>
    <col min="117" max="119" width="2.7109375" customWidth="1"/>
    <col min="120" max="120" width="2.5703125" customWidth="1"/>
  </cols>
  <sheetData>
    <row r="1" spans="1:120" ht="30" customHeight="1" x14ac:dyDescent="0.25">
      <c r="A1" s="41" t="s">
        <v>0</v>
      </c>
      <c r="B1" s="102" t="s">
        <v>41</v>
      </c>
      <c r="C1" s="102"/>
      <c r="D1" s="102"/>
      <c r="E1" s="102"/>
      <c r="F1" s="102"/>
      <c r="H1" s="1"/>
      <c r="I1" s="55" t="s">
        <v>25</v>
      </c>
    </row>
    <row r="2" spans="1:120" ht="30" customHeight="1" x14ac:dyDescent="0.3">
      <c r="A2" s="40" t="s">
        <v>1</v>
      </c>
      <c r="B2" s="44" t="s">
        <v>14</v>
      </c>
      <c r="C2" t="s">
        <v>40</v>
      </c>
      <c r="I2" s="56" t="s">
        <v>26</v>
      </c>
    </row>
    <row r="3" spans="1:120" ht="30" customHeight="1" x14ac:dyDescent="0.25">
      <c r="A3" s="40" t="s">
        <v>2</v>
      </c>
      <c r="B3" s="45" t="s">
        <v>15</v>
      </c>
      <c r="C3" s="104" t="s">
        <v>18</v>
      </c>
      <c r="D3" s="105"/>
      <c r="E3" s="103">
        <v>46097</v>
      </c>
      <c r="F3" s="103"/>
    </row>
    <row r="4" spans="1:120" ht="30" customHeight="1" x14ac:dyDescent="0.25">
      <c r="A4" s="41" t="s">
        <v>3</v>
      </c>
      <c r="B4" t="s">
        <v>55</v>
      </c>
      <c r="C4" s="104" t="s">
        <v>19</v>
      </c>
      <c r="D4" s="105"/>
      <c r="E4" s="5">
        <v>1</v>
      </c>
      <c r="I4" s="99">
        <f>I5</f>
        <v>46097</v>
      </c>
      <c r="J4" s="100"/>
      <c r="K4" s="100"/>
      <c r="L4" s="100"/>
      <c r="M4" s="100"/>
      <c r="N4" s="100"/>
      <c r="O4" s="101"/>
      <c r="P4" s="99">
        <f>P5</f>
        <v>46104</v>
      </c>
      <c r="Q4" s="100"/>
      <c r="R4" s="100"/>
      <c r="S4" s="100"/>
      <c r="T4" s="100"/>
      <c r="U4" s="100"/>
      <c r="V4" s="101"/>
      <c r="W4" s="99">
        <f>W5</f>
        <v>46111</v>
      </c>
      <c r="X4" s="100"/>
      <c r="Y4" s="100"/>
      <c r="Z4" s="100"/>
      <c r="AA4" s="100"/>
      <c r="AB4" s="100"/>
      <c r="AC4" s="101"/>
      <c r="AD4" s="99">
        <f>AD5</f>
        <v>46118</v>
      </c>
      <c r="AE4" s="100"/>
      <c r="AF4" s="100"/>
      <c r="AG4" s="100"/>
      <c r="AH4" s="100"/>
      <c r="AI4" s="100"/>
      <c r="AJ4" s="101"/>
      <c r="AK4" s="99">
        <f>AK5</f>
        <v>46125</v>
      </c>
      <c r="AL4" s="100"/>
      <c r="AM4" s="100"/>
      <c r="AN4" s="100"/>
      <c r="AO4" s="100"/>
      <c r="AP4" s="100"/>
      <c r="AQ4" s="101"/>
      <c r="AR4" s="99">
        <f>AR5</f>
        <v>46132</v>
      </c>
      <c r="AS4" s="100"/>
      <c r="AT4" s="100"/>
      <c r="AU4" s="100"/>
      <c r="AV4" s="100"/>
      <c r="AW4" s="100"/>
      <c r="AX4" s="101"/>
      <c r="AY4" s="99">
        <f>AY5</f>
        <v>46139</v>
      </c>
      <c r="AZ4" s="100"/>
      <c r="BA4" s="100"/>
      <c r="BB4" s="100"/>
      <c r="BC4" s="100"/>
      <c r="BD4" s="100"/>
      <c r="BE4" s="101"/>
      <c r="BF4" s="99">
        <f>BF5</f>
        <v>46146</v>
      </c>
      <c r="BG4" s="100"/>
      <c r="BH4" s="100"/>
      <c r="BI4" s="100"/>
      <c r="BJ4" s="100"/>
      <c r="BK4" s="100"/>
      <c r="BL4" s="101"/>
      <c r="BM4" s="99">
        <f>BM5</f>
        <v>46153</v>
      </c>
      <c r="BN4" s="100"/>
      <c r="BO4" s="100"/>
      <c r="BP4" s="100"/>
      <c r="BQ4" s="100"/>
      <c r="BR4" s="100"/>
      <c r="BS4" s="101"/>
      <c r="BT4" s="99">
        <f>BT5</f>
        <v>46160</v>
      </c>
      <c r="BU4" s="100"/>
      <c r="BV4" s="100"/>
      <c r="BW4" s="100"/>
      <c r="BX4" s="100"/>
      <c r="BY4" s="100"/>
      <c r="BZ4" s="101"/>
      <c r="CA4" s="99">
        <f>CA5</f>
        <v>46167</v>
      </c>
      <c r="CB4" s="100"/>
      <c r="CC4" s="100"/>
      <c r="CD4" s="100"/>
      <c r="CE4" s="100"/>
      <c r="CF4" s="100"/>
      <c r="CG4" s="101"/>
      <c r="CH4" s="99">
        <f>CH5</f>
        <v>46174</v>
      </c>
      <c r="CI4" s="100"/>
      <c r="CJ4" s="100"/>
      <c r="CK4" s="100"/>
      <c r="CL4" s="100"/>
      <c r="CM4" s="100"/>
      <c r="CN4" s="101"/>
      <c r="CO4" s="99">
        <f>CO5</f>
        <v>46181</v>
      </c>
      <c r="CP4" s="100"/>
      <c r="CQ4" s="100"/>
      <c r="CR4" s="100"/>
      <c r="CS4" s="100"/>
      <c r="CT4" s="100"/>
      <c r="CU4" s="101"/>
      <c r="CV4" s="99">
        <f>CV5</f>
        <v>46188</v>
      </c>
      <c r="CW4" s="100"/>
      <c r="CX4" s="100"/>
      <c r="CY4" s="100"/>
      <c r="CZ4" s="100"/>
      <c r="DA4" s="100"/>
      <c r="DB4" s="101"/>
      <c r="DC4" s="99">
        <f>DC5</f>
        <v>46195</v>
      </c>
      <c r="DD4" s="100"/>
      <c r="DE4" s="100"/>
      <c r="DF4" s="100"/>
      <c r="DG4" s="100"/>
      <c r="DH4" s="100"/>
      <c r="DI4" s="101"/>
      <c r="DJ4" s="99">
        <f>DJ5</f>
        <v>46202</v>
      </c>
      <c r="DK4" s="100"/>
      <c r="DL4" s="100"/>
      <c r="DM4" s="100"/>
      <c r="DN4" s="100"/>
      <c r="DO4" s="100"/>
      <c r="DP4" s="101"/>
    </row>
    <row r="5" spans="1:120" ht="15" customHeight="1" x14ac:dyDescent="0.25">
      <c r="A5" s="41" t="s">
        <v>4</v>
      </c>
      <c r="B5" s="54"/>
      <c r="C5" s="54"/>
      <c r="D5" s="54"/>
      <c r="E5" s="54"/>
      <c r="F5" s="54"/>
      <c r="G5" s="54"/>
      <c r="I5" s="69">
        <f>Inicio_del_proyecto-WEEKDAY(Inicio_del_proyecto,1)+2+7*(Semana_para_mostrar-1)</f>
        <v>46097</v>
      </c>
      <c r="J5" s="70">
        <f>I5+1</f>
        <v>46098</v>
      </c>
      <c r="K5" s="70">
        <f t="shared" ref="K5:AX5" si="0">J5+1</f>
        <v>46099</v>
      </c>
      <c r="L5" s="70">
        <f t="shared" si="0"/>
        <v>46100</v>
      </c>
      <c r="M5" s="70">
        <f t="shared" si="0"/>
        <v>46101</v>
      </c>
      <c r="N5" s="70">
        <f t="shared" si="0"/>
        <v>46102</v>
      </c>
      <c r="O5" s="71">
        <f t="shared" si="0"/>
        <v>46103</v>
      </c>
      <c r="P5" s="69">
        <f>O5+1</f>
        <v>46104</v>
      </c>
      <c r="Q5" s="70">
        <f>P5+1</f>
        <v>46105</v>
      </c>
      <c r="R5" s="70">
        <f t="shared" si="0"/>
        <v>46106</v>
      </c>
      <c r="S5" s="70">
        <f t="shared" si="0"/>
        <v>46107</v>
      </c>
      <c r="T5" s="70">
        <f t="shared" si="0"/>
        <v>46108</v>
      </c>
      <c r="U5" s="70">
        <f t="shared" si="0"/>
        <v>46109</v>
      </c>
      <c r="V5" s="71">
        <f t="shared" si="0"/>
        <v>46110</v>
      </c>
      <c r="W5" s="69">
        <f>V5+1</f>
        <v>46111</v>
      </c>
      <c r="X5" s="70">
        <f>W5+1</f>
        <v>46112</v>
      </c>
      <c r="Y5" s="70">
        <f t="shared" si="0"/>
        <v>46113</v>
      </c>
      <c r="Z5" s="70">
        <f t="shared" si="0"/>
        <v>46114</v>
      </c>
      <c r="AA5" s="70">
        <f t="shared" si="0"/>
        <v>46115</v>
      </c>
      <c r="AB5" s="70">
        <f t="shared" si="0"/>
        <v>46116</v>
      </c>
      <c r="AC5" s="71">
        <f t="shared" si="0"/>
        <v>46117</v>
      </c>
      <c r="AD5" s="69">
        <f>AC5+1</f>
        <v>46118</v>
      </c>
      <c r="AE5" s="70">
        <f>AD5+1</f>
        <v>46119</v>
      </c>
      <c r="AF5" s="70">
        <f t="shared" si="0"/>
        <v>46120</v>
      </c>
      <c r="AG5" s="70">
        <f t="shared" si="0"/>
        <v>46121</v>
      </c>
      <c r="AH5" s="70">
        <f t="shared" si="0"/>
        <v>46122</v>
      </c>
      <c r="AI5" s="70">
        <f t="shared" si="0"/>
        <v>46123</v>
      </c>
      <c r="AJ5" s="71">
        <f t="shared" si="0"/>
        <v>46124</v>
      </c>
      <c r="AK5" s="69">
        <f>AJ5+1</f>
        <v>46125</v>
      </c>
      <c r="AL5" s="70">
        <f>AK5+1</f>
        <v>46126</v>
      </c>
      <c r="AM5" s="70">
        <f t="shared" si="0"/>
        <v>46127</v>
      </c>
      <c r="AN5" s="70">
        <f t="shared" si="0"/>
        <v>46128</v>
      </c>
      <c r="AO5" s="70">
        <f t="shared" si="0"/>
        <v>46129</v>
      </c>
      <c r="AP5" s="70">
        <f t="shared" si="0"/>
        <v>46130</v>
      </c>
      <c r="AQ5" s="71">
        <f t="shared" si="0"/>
        <v>46131</v>
      </c>
      <c r="AR5" s="69">
        <f>AQ5+1</f>
        <v>46132</v>
      </c>
      <c r="AS5" s="70">
        <f>AR5+1</f>
        <v>46133</v>
      </c>
      <c r="AT5" s="70">
        <f t="shared" si="0"/>
        <v>46134</v>
      </c>
      <c r="AU5" s="70">
        <f t="shared" si="0"/>
        <v>46135</v>
      </c>
      <c r="AV5" s="70">
        <f t="shared" si="0"/>
        <v>46136</v>
      </c>
      <c r="AW5" s="70">
        <f t="shared" si="0"/>
        <v>46137</v>
      </c>
      <c r="AX5" s="71">
        <f t="shared" si="0"/>
        <v>46138</v>
      </c>
      <c r="AY5" s="69">
        <f>AX5+1</f>
        <v>46139</v>
      </c>
      <c r="AZ5" s="70">
        <f>AY5+1</f>
        <v>46140</v>
      </c>
      <c r="BA5" s="70">
        <f t="shared" ref="BA5:BE5" si="1">AZ5+1</f>
        <v>46141</v>
      </c>
      <c r="BB5" s="70">
        <f t="shared" si="1"/>
        <v>46142</v>
      </c>
      <c r="BC5" s="70">
        <f t="shared" si="1"/>
        <v>46143</v>
      </c>
      <c r="BD5" s="70">
        <f t="shared" si="1"/>
        <v>46144</v>
      </c>
      <c r="BE5" s="71">
        <f t="shared" si="1"/>
        <v>46145</v>
      </c>
      <c r="BF5" s="69">
        <f>BE5+1</f>
        <v>46146</v>
      </c>
      <c r="BG5" s="70">
        <f>BF5+1</f>
        <v>46147</v>
      </c>
      <c r="BH5" s="70">
        <f t="shared" ref="BH5:BL5" si="2">BG5+1</f>
        <v>46148</v>
      </c>
      <c r="BI5" s="70">
        <f t="shared" si="2"/>
        <v>46149</v>
      </c>
      <c r="BJ5" s="70">
        <f t="shared" si="2"/>
        <v>46150</v>
      </c>
      <c r="BK5" s="70">
        <f t="shared" si="2"/>
        <v>46151</v>
      </c>
      <c r="BL5" s="71">
        <f t="shared" si="2"/>
        <v>46152</v>
      </c>
      <c r="BM5" s="69">
        <f>BL5+1</f>
        <v>46153</v>
      </c>
      <c r="BN5" s="70">
        <f>BM5+1</f>
        <v>46154</v>
      </c>
      <c r="BO5" s="70">
        <f t="shared" ref="BO5" si="3">BN5+1</f>
        <v>46155</v>
      </c>
      <c r="BP5" s="70">
        <f t="shared" ref="BP5" si="4">BO5+1</f>
        <v>46156</v>
      </c>
      <c r="BQ5" s="70">
        <f t="shared" ref="BQ5" si="5">BP5+1</f>
        <v>46157</v>
      </c>
      <c r="BR5" s="70">
        <f t="shared" ref="BR5" si="6">BQ5+1</f>
        <v>46158</v>
      </c>
      <c r="BS5" s="71">
        <f t="shared" ref="BS5" si="7">BR5+1</f>
        <v>46159</v>
      </c>
      <c r="BT5" s="69">
        <f>BS5+1</f>
        <v>46160</v>
      </c>
      <c r="BU5" s="70">
        <f>BT5+1</f>
        <v>46161</v>
      </c>
      <c r="BV5" s="70">
        <f t="shared" ref="BV5" si="8">BU5+1</f>
        <v>46162</v>
      </c>
      <c r="BW5" s="70">
        <f t="shared" ref="BW5" si="9">BV5+1</f>
        <v>46163</v>
      </c>
      <c r="BX5" s="70">
        <f t="shared" ref="BX5" si="10">BW5+1</f>
        <v>46164</v>
      </c>
      <c r="BY5" s="70">
        <f t="shared" ref="BY5" si="11">BX5+1</f>
        <v>46165</v>
      </c>
      <c r="BZ5" s="71">
        <f t="shared" ref="BZ5" si="12">BY5+1</f>
        <v>46166</v>
      </c>
      <c r="CA5" s="69">
        <f>BZ5+1</f>
        <v>46167</v>
      </c>
      <c r="CB5" s="70">
        <f>CA5+1</f>
        <v>46168</v>
      </c>
      <c r="CC5" s="70">
        <f t="shared" ref="CC5" si="13">CB5+1</f>
        <v>46169</v>
      </c>
      <c r="CD5" s="70">
        <f t="shared" ref="CD5" si="14">CC5+1</f>
        <v>46170</v>
      </c>
      <c r="CE5" s="70">
        <f t="shared" ref="CE5" si="15">CD5+1</f>
        <v>46171</v>
      </c>
      <c r="CF5" s="70">
        <f t="shared" ref="CF5" si="16">CE5+1</f>
        <v>46172</v>
      </c>
      <c r="CG5" s="71">
        <f t="shared" ref="CG5" si="17">CF5+1</f>
        <v>46173</v>
      </c>
      <c r="CH5" s="69">
        <f>CG5+1</f>
        <v>46174</v>
      </c>
      <c r="CI5" s="70">
        <f>CH5+1</f>
        <v>46175</v>
      </c>
      <c r="CJ5" s="70">
        <f t="shared" ref="CJ5" si="18">CI5+1</f>
        <v>46176</v>
      </c>
      <c r="CK5" s="70">
        <f t="shared" ref="CK5" si="19">CJ5+1</f>
        <v>46177</v>
      </c>
      <c r="CL5" s="70">
        <f t="shared" ref="CL5" si="20">CK5+1</f>
        <v>46178</v>
      </c>
      <c r="CM5" s="70">
        <f t="shared" ref="CM5" si="21">CL5+1</f>
        <v>46179</v>
      </c>
      <c r="CN5" s="71">
        <f t="shared" ref="CN5" si="22">CM5+1</f>
        <v>46180</v>
      </c>
      <c r="CO5" s="69">
        <f>CN5+1</f>
        <v>46181</v>
      </c>
      <c r="CP5" s="70">
        <f>CO5+1</f>
        <v>46182</v>
      </c>
      <c r="CQ5" s="70">
        <f t="shared" ref="CQ5" si="23">CP5+1</f>
        <v>46183</v>
      </c>
      <c r="CR5" s="70">
        <f t="shared" ref="CR5" si="24">CQ5+1</f>
        <v>46184</v>
      </c>
      <c r="CS5" s="70">
        <f t="shared" ref="CS5" si="25">CR5+1</f>
        <v>46185</v>
      </c>
      <c r="CT5" s="70">
        <f t="shared" ref="CT5" si="26">CS5+1</f>
        <v>46186</v>
      </c>
      <c r="CU5" s="71">
        <f t="shared" ref="CU5" si="27">CT5+1</f>
        <v>46187</v>
      </c>
      <c r="CV5" s="69">
        <f>CU5+1</f>
        <v>46188</v>
      </c>
      <c r="CW5" s="70">
        <f>CV5+1</f>
        <v>46189</v>
      </c>
      <c r="CX5" s="70">
        <f t="shared" ref="CX5" si="28">CW5+1</f>
        <v>46190</v>
      </c>
      <c r="CY5" s="70">
        <f t="shared" ref="CY5" si="29">CX5+1</f>
        <v>46191</v>
      </c>
      <c r="CZ5" s="70">
        <f t="shared" ref="CZ5" si="30">CY5+1</f>
        <v>46192</v>
      </c>
      <c r="DA5" s="70">
        <f t="shared" ref="DA5" si="31">CZ5+1</f>
        <v>46193</v>
      </c>
      <c r="DB5" s="71">
        <f t="shared" ref="DB5" si="32">DA5+1</f>
        <v>46194</v>
      </c>
      <c r="DC5" s="69">
        <f>DB5+1</f>
        <v>46195</v>
      </c>
      <c r="DD5" s="70">
        <f>DC5+1</f>
        <v>46196</v>
      </c>
      <c r="DE5" s="70">
        <f t="shared" ref="DE5" si="33">DD5+1</f>
        <v>46197</v>
      </c>
      <c r="DF5" s="70">
        <f t="shared" ref="DF5" si="34">DE5+1</f>
        <v>46198</v>
      </c>
      <c r="DG5" s="70">
        <f t="shared" ref="DG5" si="35">DF5+1</f>
        <v>46199</v>
      </c>
      <c r="DH5" s="70">
        <f t="shared" ref="DH5" si="36">DG5+1</f>
        <v>46200</v>
      </c>
      <c r="DI5" s="71">
        <f t="shared" ref="DI5" si="37">DH5+1</f>
        <v>46201</v>
      </c>
      <c r="DJ5" s="69">
        <f>DI5+1</f>
        <v>46202</v>
      </c>
      <c r="DK5" s="70">
        <f>DJ5+1</f>
        <v>46203</v>
      </c>
      <c r="DL5" s="70">
        <f t="shared" ref="DL5" si="38">DK5+1</f>
        <v>46204</v>
      </c>
      <c r="DM5" s="70">
        <f t="shared" ref="DM5" si="39">DL5+1</f>
        <v>46205</v>
      </c>
      <c r="DN5" s="70">
        <f t="shared" ref="DN5" si="40">DM5+1</f>
        <v>46206</v>
      </c>
      <c r="DO5" s="70">
        <f t="shared" ref="DO5" si="41">DN5+1</f>
        <v>46207</v>
      </c>
      <c r="DP5" s="71">
        <f t="shared" ref="DP5" si="42">DO5+1</f>
        <v>46208</v>
      </c>
    </row>
    <row r="6" spans="1:120" ht="30" customHeight="1" thickBot="1" x14ac:dyDescent="0.3">
      <c r="A6" s="41" t="s">
        <v>5</v>
      </c>
      <c r="B6" s="6" t="s">
        <v>16</v>
      </c>
      <c r="C6" s="7" t="s">
        <v>20</v>
      </c>
      <c r="D6" s="7" t="s">
        <v>21</v>
      </c>
      <c r="E6" s="7" t="s">
        <v>22</v>
      </c>
      <c r="F6" s="7" t="s">
        <v>23</v>
      </c>
      <c r="G6" s="7"/>
      <c r="H6" s="7" t="s">
        <v>24</v>
      </c>
      <c r="I6" s="8" t="str">
        <f t="shared" ref="I6" si="43">LEFT(TEXT(I5,"ddd"),1)</f>
        <v>l</v>
      </c>
      <c r="J6" s="8" t="str">
        <f t="shared" ref="J6:AR6" si="44">LEFT(TEXT(J5,"ddd"),1)</f>
        <v>m</v>
      </c>
      <c r="K6" s="8" t="str">
        <f t="shared" si="44"/>
        <v>m</v>
      </c>
      <c r="L6" s="8" t="str">
        <f t="shared" si="44"/>
        <v>j</v>
      </c>
      <c r="M6" s="8" t="str">
        <f t="shared" si="44"/>
        <v>v</v>
      </c>
      <c r="N6" s="8" t="str">
        <f t="shared" si="44"/>
        <v>s</v>
      </c>
      <c r="O6" s="8" t="str">
        <f t="shared" si="44"/>
        <v>d</v>
      </c>
      <c r="P6" s="8" t="str">
        <f t="shared" si="44"/>
        <v>l</v>
      </c>
      <c r="Q6" s="8" t="str">
        <f t="shared" si="44"/>
        <v>m</v>
      </c>
      <c r="R6" s="8" t="str">
        <f t="shared" si="44"/>
        <v>m</v>
      </c>
      <c r="S6" s="8" t="str">
        <f t="shared" si="44"/>
        <v>j</v>
      </c>
      <c r="T6" s="8" t="str">
        <f t="shared" si="44"/>
        <v>v</v>
      </c>
      <c r="U6" s="8" t="str">
        <f t="shared" si="44"/>
        <v>s</v>
      </c>
      <c r="V6" s="8" t="str">
        <f t="shared" si="44"/>
        <v>d</v>
      </c>
      <c r="W6" s="8" t="str">
        <f t="shared" si="44"/>
        <v>l</v>
      </c>
      <c r="X6" s="8" t="str">
        <f t="shared" si="44"/>
        <v>m</v>
      </c>
      <c r="Y6" s="8" t="str">
        <f t="shared" si="44"/>
        <v>m</v>
      </c>
      <c r="Z6" s="8" t="str">
        <f t="shared" si="44"/>
        <v>j</v>
      </c>
      <c r="AA6" s="8" t="str">
        <f t="shared" si="44"/>
        <v>v</v>
      </c>
      <c r="AB6" s="8" t="str">
        <f t="shared" si="44"/>
        <v>s</v>
      </c>
      <c r="AC6" s="8" t="str">
        <f t="shared" si="44"/>
        <v>d</v>
      </c>
      <c r="AD6" s="8" t="str">
        <f t="shared" si="44"/>
        <v>l</v>
      </c>
      <c r="AE6" s="8" t="str">
        <f t="shared" si="44"/>
        <v>m</v>
      </c>
      <c r="AF6" s="8" t="str">
        <f t="shared" si="44"/>
        <v>m</v>
      </c>
      <c r="AG6" s="8" t="str">
        <f t="shared" si="44"/>
        <v>j</v>
      </c>
      <c r="AH6" s="8" t="str">
        <f t="shared" si="44"/>
        <v>v</v>
      </c>
      <c r="AI6" s="8" t="str">
        <f t="shared" si="44"/>
        <v>s</v>
      </c>
      <c r="AJ6" s="8" t="str">
        <f t="shared" si="44"/>
        <v>d</v>
      </c>
      <c r="AK6" s="8" t="str">
        <f t="shared" si="44"/>
        <v>l</v>
      </c>
      <c r="AL6" s="8" t="str">
        <f t="shared" si="44"/>
        <v>m</v>
      </c>
      <c r="AM6" s="8" t="str">
        <f t="shared" si="44"/>
        <v>m</v>
      </c>
      <c r="AN6" s="8" t="str">
        <f t="shared" si="44"/>
        <v>j</v>
      </c>
      <c r="AO6" s="8" t="str">
        <f t="shared" si="44"/>
        <v>v</v>
      </c>
      <c r="AP6" s="8" t="str">
        <f t="shared" si="44"/>
        <v>s</v>
      </c>
      <c r="AQ6" s="8" t="str">
        <f t="shared" si="44"/>
        <v>d</v>
      </c>
      <c r="AR6" s="8" t="str">
        <f t="shared" si="44"/>
        <v>l</v>
      </c>
      <c r="AS6" s="8" t="str">
        <f t="shared" ref="AS6:BL6" si="45">LEFT(TEXT(AS5,"ddd"),1)</f>
        <v>m</v>
      </c>
      <c r="AT6" s="8" t="str">
        <f t="shared" si="45"/>
        <v>m</v>
      </c>
      <c r="AU6" s="8" t="str">
        <f t="shared" si="45"/>
        <v>j</v>
      </c>
      <c r="AV6" s="8" t="str">
        <f t="shared" si="45"/>
        <v>v</v>
      </c>
      <c r="AW6" s="8" t="str">
        <f t="shared" si="45"/>
        <v>s</v>
      </c>
      <c r="AX6" s="8" t="str">
        <f t="shared" si="45"/>
        <v>d</v>
      </c>
      <c r="AY6" s="8" t="str">
        <f t="shared" si="45"/>
        <v>l</v>
      </c>
      <c r="AZ6" s="8" t="str">
        <f t="shared" si="45"/>
        <v>m</v>
      </c>
      <c r="BA6" s="8" t="str">
        <f t="shared" si="45"/>
        <v>m</v>
      </c>
      <c r="BB6" s="8" t="str">
        <f t="shared" si="45"/>
        <v>j</v>
      </c>
      <c r="BC6" s="8" t="str">
        <f t="shared" si="45"/>
        <v>v</v>
      </c>
      <c r="BD6" s="8" t="str">
        <f t="shared" si="45"/>
        <v>s</v>
      </c>
      <c r="BE6" s="8" t="str">
        <f t="shared" si="45"/>
        <v>d</v>
      </c>
      <c r="BF6" s="8" t="str">
        <f t="shared" si="45"/>
        <v>l</v>
      </c>
      <c r="BG6" s="8" t="str">
        <f t="shared" si="45"/>
        <v>m</v>
      </c>
      <c r="BH6" s="8" t="str">
        <f t="shared" si="45"/>
        <v>m</v>
      </c>
      <c r="BI6" s="8" t="str">
        <f t="shared" si="45"/>
        <v>j</v>
      </c>
      <c r="BJ6" s="8" t="str">
        <f t="shared" si="45"/>
        <v>v</v>
      </c>
      <c r="BK6" s="8" t="str">
        <f t="shared" si="45"/>
        <v>s</v>
      </c>
      <c r="BL6" s="8" t="str">
        <f t="shared" si="45"/>
        <v>d</v>
      </c>
      <c r="BM6" s="8" t="str">
        <f t="shared" ref="BM6:BS6" si="46">LEFT(TEXT(BM5,"ddd"),1)</f>
        <v>l</v>
      </c>
      <c r="BN6" s="8" t="str">
        <f t="shared" si="46"/>
        <v>m</v>
      </c>
      <c r="BO6" s="8" t="str">
        <f t="shared" si="46"/>
        <v>m</v>
      </c>
      <c r="BP6" s="8" t="str">
        <f t="shared" si="46"/>
        <v>j</v>
      </c>
      <c r="BQ6" s="8" t="str">
        <f t="shared" si="46"/>
        <v>v</v>
      </c>
      <c r="BR6" s="8" t="str">
        <f t="shared" si="46"/>
        <v>s</v>
      </c>
      <c r="BS6" s="8" t="str">
        <f t="shared" si="46"/>
        <v>d</v>
      </c>
      <c r="BT6" s="8" t="str">
        <f t="shared" ref="BT6:CG6" si="47">LEFT(TEXT(BT5,"ddd"),1)</f>
        <v>l</v>
      </c>
      <c r="BU6" s="8" t="str">
        <f t="shared" si="47"/>
        <v>m</v>
      </c>
      <c r="BV6" s="8" t="str">
        <f t="shared" si="47"/>
        <v>m</v>
      </c>
      <c r="BW6" s="8" t="str">
        <f t="shared" si="47"/>
        <v>j</v>
      </c>
      <c r="BX6" s="8" t="str">
        <f t="shared" si="47"/>
        <v>v</v>
      </c>
      <c r="BY6" s="8" t="str">
        <f t="shared" si="47"/>
        <v>s</v>
      </c>
      <c r="BZ6" s="8" t="str">
        <f t="shared" si="47"/>
        <v>d</v>
      </c>
      <c r="CA6" s="8" t="str">
        <f t="shared" si="47"/>
        <v>l</v>
      </c>
      <c r="CB6" s="8" t="str">
        <f t="shared" si="47"/>
        <v>m</v>
      </c>
      <c r="CC6" s="8" t="str">
        <f t="shared" si="47"/>
        <v>m</v>
      </c>
      <c r="CD6" s="8" t="str">
        <f t="shared" si="47"/>
        <v>j</v>
      </c>
      <c r="CE6" s="8" t="str">
        <f t="shared" si="47"/>
        <v>v</v>
      </c>
      <c r="CF6" s="8" t="str">
        <f t="shared" si="47"/>
        <v>s</v>
      </c>
      <c r="CG6" s="8" t="str">
        <f t="shared" si="47"/>
        <v>d</v>
      </c>
      <c r="CH6" s="8" t="str">
        <f t="shared" ref="CH6:DI6" si="48">LEFT(TEXT(CH5,"ddd"),1)</f>
        <v>l</v>
      </c>
      <c r="CI6" s="8" t="str">
        <f t="shared" si="48"/>
        <v>m</v>
      </c>
      <c r="CJ6" s="8" t="str">
        <f t="shared" si="48"/>
        <v>m</v>
      </c>
      <c r="CK6" s="8" t="str">
        <f t="shared" si="48"/>
        <v>j</v>
      </c>
      <c r="CL6" s="8" t="str">
        <f t="shared" si="48"/>
        <v>v</v>
      </c>
      <c r="CM6" s="8" t="str">
        <f t="shared" si="48"/>
        <v>s</v>
      </c>
      <c r="CN6" s="8" t="str">
        <f t="shared" si="48"/>
        <v>d</v>
      </c>
      <c r="CO6" s="8" t="str">
        <f t="shared" si="48"/>
        <v>l</v>
      </c>
      <c r="CP6" s="8" t="str">
        <f t="shared" si="48"/>
        <v>m</v>
      </c>
      <c r="CQ6" s="8" t="str">
        <f t="shared" si="48"/>
        <v>m</v>
      </c>
      <c r="CR6" s="8" t="str">
        <f t="shared" si="48"/>
        <v>j</v>
      </c>
      <c r="CS6" s="8" t="str">
        <f t="shared" si="48"/>
        <v>v</v>
      </c>
      <c r="CT6" s="8" t="str">
        <f t="shared" si="48"/>
        <v>s</v>
      </c>
      <c r="CU6" s="8" t="str">
        <f t="shared" si="48"/>
        <v>d</v>
      </c>
      <c r="CV6" s="8" t="str">
        <f t="shared" si="48"/>
        <v>l</v>
      </c>
      <c r="CW6" s="8" t="str">
        <f t="shared" si="48"/>
        <v>m</v>
      </c>
      <c r="CX6" s="8" t="str">
        <f t="shared" si="48"/>
        <v>m</v>
      </c>
      <c r="CY6" s="8" t="str">
        <f t="shared" si="48"/>
        <v>j</v>
      </c>
      <c r="CZ6" s="8" t="str">
        <f t="shared" si="48"/>
        <v>v</v>
      </c>
      <c r="DA6" s="8" t="str">
        <f t="shared" si="48"/>
        <v>s</v>
      </c>
      <c r="DB6" s="8" t="str">
        <f t="shared" si="48"/>
        <v>d</v>
      </c>
      <c r="DC6" s="8" t="str">
        <f t="shared" si="48"/>
        <v>l</v>
      </c>
      <c r="DD6" s="8" t="str">
        <f t="shared" si="48"/>
        <v>m</v>
      </c>
      <c r="DE6" s="8" t="str">
        <f t="shared" si="48"/>
        <v>m</v>
      </c>
      <c r="DF6" s="8" t="str">
        <f t="shared" si="48"/>
        <v>j</v>
      </c>
      <c r="DG6" s="8" t="str">
        <f t="shared" si="48"/>
        <v>v</v>
      </c>
      <c r="DH6" s="8" t="str">
        <f t="shared" si="48"/>
        <v>s</v>
      </c>
      <c r="DI6" s="8" t="str">
        <f t="shared" si="48"/>
        <v>d</v>
      </c>
      <c r="DJ6" s="8" t="str">
        <f t="shared" ref="DJ6:DP6" si="49">LEFT(TEXT(DJ5,"ddd"),1)</f>
        <v>l</v>
      </c>
      <c r="DK6" s="8" t="str">
        <f t="shared" si="49"/>
        <v>m</v>
      </c>
      <c r="DL6" s="8" t="str">
        <f t="shared" si="49"/>
        <v>m</v>
      </c>
      <c r="DM6" s="8" t="str">
        <f t="shared" si="49"/>
        <v>j</v>
      </c>
      <c r="DN6" s="8" t="str">
        <f t="shared" si="49"/>
        <v>v</v>
      </c>
      <c r="DO6" s="8" t="str">
        <f t="shared" si="49"/>
        <v>s</v>
      </c>
      <c r="DP6" s="8" t="str">
        <f t="shared" si="49"/>
        <v>d</v>
      </c>
    </row>
    <row r="7" spans="1:120" ht="30" hidden="1" customHeight="1" thickBot="1" x14ac:dyDescent="0.3">
      <c r="A7" s="40" t="s">
        <v>6</v>
      </c>
      <c r="C7" s="43"/>
      <c r="E7"/>
      <c r="H7" t="str">
        <f>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spans="1:120" s="2" customFormat="1" ht="30" customHeight="1" thickBot="1" x14ac:dyDescent="0.3">
      <c r="A8" s="41" t="s">
        <v>7</v>
      </c>
      <c r="B8" s="12" t="s">
        <v>42</v>
      </c>
      <c r="C8" s="46"/>
      <c r="D8" s="13"/>
      <c r="E8" s="58"/>
      <c r="F8" s="59"/>
      <c r="G8" s="11"/>
      <c r="H8" s="11" t="str">
        <f t="shared" ref="H8:H34" si="50">IF(OR(ISBLANK(task_start),ISBLANK(task_end)),"",task_end-task_start+1)</f>
        <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row>
    <row r="9" spans="1:120" s="2" customFormat="1" ht="30" customHeight="1" thickBot="1" x14ac:dyDescent="0.3">
      <c r="A9" s="41" t="s">
        <v>8</v>
      </c>
      <c r="B9" s="75" t="s">
        <v>43</v>
      </c>
      <c r="C9" s="47" t="s">
        <v>46</v>
      </c>
      <c r="D9" s="14">
        <v>1</v>
      </c>
      <c r="E9" s="72">
        <f>Inicio_del_proyecto</f>
        <v>46097</v>
      </c>
      <c r="F9" s="72">
        <f>E9+1</f>
        <v>46098</v>
      </c>
      <c r="G9" s="11"/>
      <c r="H9" s="11">
        <f t="shared" si="50"/>
        <v>2</v>
      </c>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row>
    <row r="10" spans="1:120" s="2" customFormat="1" ht="30" customHeight="1" thickBot="1" x14ac:dyDescent="0.3">
      <c r="A10" s="41" t="s">
        <v>9</v>
      </c>
      <c r="B10" s="75" t="s">
        <v>49</v>
      </c>
      <c r="C10" s="47" t="s">
        <v>47</v>
      </c>
      <c r="D10" s="14">
        <v>1</v>
      </c>
      <c r="E10" s="72">
        <f>F9</f>
        <v>46098</v>
      </c>
      <c r="F10" s="72">
        <f>E10+3</f>
        <v>46101</v>
      </c>
      <c r="G10" s="11"/>
      <c r="H10" s="11">
        <f t="shared" si="50"/>
        <v>4</v>
      </c>
      <c r="I10" s="27"/>
      <c r="J10" s="27"/>
      <c r="K10" s="27"/>
      <c r="L10" s="27"/>
      <c r="M10" s="27"/>
      <c r="N10" s="27"/>
      <c r="O10" s="27"/>
      <c r="P10" s="27"/>
      <c r="Q10" s="27"/>
      <c r="R10" s="27"/>
      <c r="S10" s="27"/>
      <c r="T10" s="27"/>
      <c r="U10" s="28"/>
      <c r="V10" s="28"/>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row>
    <row r="11" spans="1:120" s="2" customFormat="1" ht="30" customHeight="1" thickBot="1" x14ac:dyDescent="0.3">
      <c r="A11" s="40"/>
      <c r="B11" s="75" t="s">
        <v>44</v>
      </c>
      <c r="C11" s="47" t="s">
        <v>46</v>
      </c>
      <c r="D11" s="14">
        <v>1</v>
      </c>
      <c r="E11" s="72">
        <f>F10</f>
        <v>46101</v>
      </c>
      <c r="F11" s="72">
        <f>E11+3</f>
        <v>46104</v>
      </c>
      <c r="G11" s="11"/>
      <c r="H11" s="11">
        <f t="shared" si="50"/>
        <v>4</v>
      </c>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row>
    <row r="12" spans="1:120" s="2" customFormat="1" ht="30" customHeight="1" thickBot="1" x14ac:dyDescent="0.3">
      <c r="A12" s="40"/>
      <c r="B12" s="75" t="s">
        <v>45</v>
      </c>
      <c r="C12" s="47" t="s">
        <v>47</v>
      </c>
      <c r="D12" s="14">
        <v>1</v>
      </c>
      <c r="E12" s="72">
        <f>F11</f>
        <v>46104</v>
      </c>
      <c r="F12" s="72">
        <f>E12+3</f>
        <v>46107</v>
      </c>
      <c r="G12" s="11"/>
      <c r="H12" s="11">
        <f t="shared" si="50"/>
        <v>4</v>
      </c>
      <c r="I12" s="27"/>
      <c r="J12" s="27"/>
      <c r="K12" s="27"/>
      <c r="L12" s="27"/>
      <c r="M12" s="27"/>
      <c r="N12" s="27"/>
      <c r="O12" s="27"/>
      <c r="P12" s="27"/>
      <c r="Q12" s="27"/>
      <c r="R12" s="27"/>
      <c r="S12" s="27"/>
      <c r="T12" s="27"/>
      <c r="U12" s="27"/>
      <c r="V12" s="27"/>
      <c r="W12" s="27"/>
      <c r="X12" s="27"/>
      <c r="Y12" s="28"/>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row>
    <row r="13" spans="1:120" s="2" customFormat="1" ht="30" customHeight="1" thickBot="1" x14ac:dyDescent="0.3">
      <c r="A13" s="41" t="s">
        <v>10</v>
      </c>
      <c r="B13" s="15" t="s">
        <v>48</v>
      </c>
      <c r="C13" s="48"/>
      <c r="D13" s="16"/>
      <c r="E13" s="60"/>
      <c r="F13" s="61"/>
      <c r="G13" s="11"/>
      <c r="H13" s="11" t="str">
        <f t="shared" si="50"/>
        <v/>
      </c>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row>
    <row r="14" spans="1:120" s="2" customFormat="1" ht="30" customHeight="1" thickBot="1" x14ac:dyDescent="0.3">
      <c r="A14" s="41"/>
      <c r="B14" s="76" t="s">
        <v>54</v>
      </c>
      <c r="C14" s="49" t="s">
        <v>46</v>
      </c>
      <c r="D14" s="17">
        <v>1</v>
      </c>
      <c r="E14" s="73">
        <f>F12</f>
        <v>46107</v>
      </c>
      <c r="F14" s="73">
        <f>E14+10</f>
        <v>46117</v>
      </c>
      <c r="G14" s="11"/>
      <c r="H14" s="11">
        <f t="shared" si="50"/>
        <v>11</v>
      </c>
      <c r="I14" s="27"/>
      <c r="J14" s="27"/>
      <c r="K14" s="27"/>
      <c r="L14" s="27"/>
      <c r="M14" s="27"/>
      <c r="N14" s="27"/>
      <c r="O14" s="27"/>
      <c r="P14" s="27"/>
      <c r="Q14" s="27"/>
      <c r="R14" s="27"/>
      <c r="S14" s="27"/>
      <c r="T14" s="27"/>
      <c r="U14" s="27"/>
      <c r="V14" s="27"/>
      <c r="W14" s="27"/>
      <c r="X14" s="27"/>
      <c r="Y14" s="27"/>
      <c r="Z14" s="27"/>
      <c r="AA14" s="27"/>
      <c r="AB14" s="98"/>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row>
    <row r="15" spans="1:120" s="2" customFormat="1" ht="30" customHeight="1" thickBot="1" x14ac:dyDescent="0.3">
      <c r="A15" s="40"/>
      <c r="B15" s="76" t="s">
        <v>52</v>
      </c>
      <c r="C15" s="49" t="s">
        <v>47</v>
      </c>
      <c r="D15" s="17">
        <v>1</v>
      </c>
      <c r="E15" s="73">
        <f>F14 +1</f>
        <v>46118</v>
      </c>
      <c r="F15" s="73">
        <f>E15+5</f>
        <v>46123</v>
      </c>
      <c r="G15" s="11"/>
      <c r="H15" s="11">
        <f t="shared" si="50"/>
        <v>6</v>
      </c>
      <c r="I15" s="27"/>
      <c r="J15" s="27"/>
      <c r="K15" s="27"/>
      <c r="L15" s="27"/>
      <c r="M15" s="27"/>
      <c r="N15" s="27"/>
      <c r="O15" s="27"/>
      <c r="P15" s="27"/>
      <c r="Q15" s="27"/>
      <c r="R15" s="27"/>
      <c r="S15" s="27"/>
      <c r="T15" s="27"/>
      <c r="U15" s="28"/>
      <c r="V15" s="28"/>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row>
    <row r="16" spans="1:120" s="2" customFormat="1" ht="30" customHeight="1" thickBot="1" x14ac:dyDescent="0.3">
      <c r="A16" s="40"/>
      <c r="B16" s="76" t="s">
        <v>53</v>
      </c>
      <c r="C16" s="49" t="s">
        <v>46</v>
      </c>
      <c r="D16" s="17">
        <v>1</v>
      </c>
      <c r="E16" s="73">
        <f>F15 +1</f>
        <v>46124</v>
      </c>
      <c r="F16" s="73">
        <f>E16+6</f>
        <v>46130</v>
      </c>
      <c r="G16" s="11"/>
      <c r="H16" s="11">
        <f t="shared" si="50"/>
        <v>7</v>
      </c>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row>
    <row r="17" spans="1:120" s="2" customFormat="1" ht="30" customHeight="1" thickBot="1" x14ac:dyDescent="0.3">
      <c r="A17" s="40" t="s">
        <v>11</v>
      </c>
      <c r="B17" s="18" t="s">
        <v>50</v>
      </c>
      <c r="C17" s="50"/>
      <c r="D17" s="19"/>
      <c r="E17" s="62"/>
      <c r="F17" s="63"/>
      <c r="G17" s="11"/>
      <c r="H17" s="11" t="str">
        <f t="shared" si="50"/>
        <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row>
    <row r="18" spans="1:120" s="2" customFormat="1" ht="30" customHeight="1" thickBot="1" x14ac:dyDescent="0.3">
      <c r="A18" s="40"/>
      <c r="B18" s="77" t="s">
        <v>56</v>
      </c>
      <c r="C18" s="51" t="s">
        <v>46</v>
      </c>
      <c r="D18" s="20">
        <v>0</v>
      </c>
      <c r="E18" s="64">
        <f>F16+1</f>
        <v>46131</v>
      </c>
      <c r="F18" s="64">
        <f>E18+9</f>
        <v>46140</v>
      </c>
      <c r="G18" s="11"/>
      <c r="H18" s="11">
        <f t="shared" si="50"/>
        <v>10</v>
      </c>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row>
    <row r="19" spans="1:120" s="2" customFormat="1" ht="30" customHeight="1" thickBot="1" x14ac:dyDescent="0.3">
      <c r="A19" s="40"/>
      <c r="B19" s="77" t="s">
        <v>57</v>
      </c>
      <c r="C19" s="51" t="s">
        <v>47</v>
      </c>
      <c r="D19" s="20">
        <v>0</v>
      </c>
      <c r="E19" s="64">
        <f>F18+1</f>
        <v>46141</v>
      </c>
      <c r="F19" s="64">
        <f>E19+9</f>
        <v>46150</v>
      </c>
      <c r="G19" s="11"/>
      <c r="H19" s="11">
        <f t="shared" si="50"/>
        <v>10</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row>
    <row r="20" spans="1:120" s="2" customFormat="1" ht="30" customHeight="1" thickBot="1" x14ac:dyDescent="0.3">
      <c r="A20" s="40"/>
      <c r="B20" s="77" t="s">
        <v>58</v>
      </c>
      <c r="C20" s="51" t="s">
        <v>46</v>
      </c>
      <c r="D20" s="20">
        <v>0</v>
      </c>
      <c r="E20" s="64">
        <f>F19+1</f>
        <v>46151</v>
      </c>
      <c r="F20" s="64">
        <f>E20+9</f>
        <v>46160</v>
      </c>
      <c r="G20" s="11"/>
      <c r="H20" s="11">
        <f t="shared" si="50"/>
        <v>10</v>
      </c>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row>
    <row r="21" spans="1:120" s="2" customFormat="1" ht="30" customHeight="1" thickBot="1" x14ac:dyDescent="0.3">
      <c r="A21" s="40"/>
      <c r="B21" s="77" t="s">
        <v>59</v>
      </c>
      <c r="C21" s="51" t="s">
        <v>47</v>
      </c>
      <c r="D21" s="20">
        <v>0</v>
      </c>
      <c r="E21" s="64">
        <f>F20+1</f>
        <v>46161</v>
      </c>
      <c r="F21" s="64">
        <f>E21+7</f>
        <v>46168</v>
      </c>
      <c r="G21" s="11"/>
      <c r="H21" s="11">
        <f t="shared" si="50"/>
        <v>8</v>
      </c>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row>
    <row r="22" spans="1:120" s="2" customFormat="1" ht="30" customHeight="1" thickBot="1" x14ac:dyDescent="0.3">
      <c r="A22" s="40"/>
      <c r="B22" s="77" t="s">
        <v>60</v>
      </c>
      <c r="C22" s="51" t="s">
        <v>46</v>
      </c>
      <c r="D22" s="20">
        <v>0</v>
      </c>
      <c r="E22" s="64">
        <f>F21 +1</f>
        <v>46169</v>
      </c>
      <c r="F22" s="64">
        <f>E22+2</f>
        <v>46171</v>
      </c>
      <c r="G22" s="11"/>
      <c r="H22" s="11">
        <f t="shared" si="50"/>
        <v>3</v>
      </c>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row>
    <row r="23" spans="1:120" s="2" customFormat="1" ht="30" customHeight="1" thickBot="1" x14ac:dyDescent="0.3">
      <c r="A23" s="40" t="s">
        <v>11</v>
      </c>
      <c r="B23" s="78" t="s">
        <v>51</v>
      </c>
      <c r="C23" s="52"/>
      <c r="D23" s="21"/>
      <c r="E23" s="65"/>
      <c r="F23" s="66"/>
      <c r="G23" s="11"/>
      <c r="H23" s="11" t="str">
        <f t="shared" si="50"/>
        <v/>
      </c>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row>
    <row r="24" spans="1:120" s="2" customFormat="1" ht="30" customHeight="1" thickBot="1" x14ac:dyDescent="0.3">
      <c r="A24" s="40"/>
      <c r="B24" s="79" t="s">
        <v>62</v>
      </c>
      <c r="C24" s="53" t="s">
        <v>47</v>
      </c>
      <c r="D24" s="22">
        <v>0</v>
      </c>
      <c r="E24" s="74">
        <f>F22+1</f>
        <v>46172</v>
      </c>
      <c r="F24" s="74">
        <f>E24+5</f>
        <v>46177</v>
      </c>
      <c r="G24" s="11"/>
      <c r="H24" s="11">
        <f t="shared" si="50"/>
        <v>6</v>
      </c>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row>
    <row r="25" spans="1:120" s="2" customFormat="1" ht="30" customHeight="1" thickBot="1" x14ac:dyDescent="0.3">
      <c r="A25" s="40"/>
      <c r="B25" s="79" t="s">
        <v>63</v>
      </c>
      <c r="C25" s="53" t="s">
        <v>46</v>
      </c>
      <c r="D25" s="22">
        <v>0</v>
      </c>
      <c r="E25" s="74">
        <f>F24+1</f>
        <v>46178</v>
      </c>
      <c r="F25" s="74">
        <f>E25+4</f>
        <v>46182</v>
      </c>
      <c r="G25" s="11"/>
      <c r="H25" s="11">
        <f t="shared" si="50"/>
        <v>5</v>
      </c>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row>
    <row r="26" spans="1:120" s="2" customFormat="1" ht="30" customHeight="1" thickBot="1" x14ac:dyDescent="0.3">
      <c r="A26" s="40" t="s">
        <v>12</v>
      </c>
      <c r="B26" s="80" t="s">
        <v>66</v>
      </c>
      <c r="C26" s="81"/>
      <c r="D26" s="82"/>
      <c r="E26" s="83"/>
      <c r="F26" s="84"/>
      <c r="G26" s="11"/>
      <c r="H26" s="11" t="str">
        <f t="shared" si="50"/>
        <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row>
    <row r="27" spans="1:120" s="2" customFormat="1" ht="30" customHeight="1" thickBot="1" x14ac:dyDescent="0.3">
      <c r="A27" s="40"/>
      <c r="B27" s="85" t="s">
        <v>64</v>
      </c>
      <c r="C27" s="86" t="s">
        <v>47</v>
      </c>
      <c r="D27" s="87">
        <v>0</v>
      </c>
      <c r="E27" s="88">
        <f>F25 +1</f>
        <v>46183</v>
      </c>
      <c r="F27" s="88">
        <f>E27+5</f>
        <v>46188</v>
      </c>
      <c r="G27" s="11"/>
      <c r="H27" s="11"/>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row>
    <row r="28" spans="1:120" s="2" customFormat="1" ht="30" customHeight="1" thickBot="1" x14ac:dyDescent="0.3">
      <c r="A28" s="40"/>
      <c r="B28" s="85" t="s">
        <v>67</v>
      </c>
      <c r="C28" s="86" t="s">
        <v>46</v>
      </c>
      <c r="D28" s="87">
        <v>0</v>
      </c>
      <c r="E28" s="88">
        <f>F27+1</f>
        <v>46189</v>
      </c>
      <c r="F28" s="88">
        <f>E28+5</f>
        <v>46194</v>
      </c>
      <c r="G28" s="11"/>
      <c r="H28" s="11"/>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row>
    <row r="29" spans="1:120" s="2" customFormat="1" ht="30" customHeight="1" thickBot="1" x14ac:dyDescent="0.3">
      <c r="A29" s="40"/>
      <c r="B29" s="85" t="s">
        <v>61</v>
      </c>
      <c r="C29" s="86" t="s">
        <v>47</v>
      </c>
      <c r="D29" s="87">
        <v>0</v>
      </c>
      <c r="E29" s="88">
        <f>F28 + 1</f>
        <v>46195</v>
      </c>
      <c r="F29" s="88">
        <f>E29</f>
        <v>46195</v>
      </c>
      <c r="G29" s="11"/>
      <c r="H29" s="11"/>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row>
    <row r="30" spans="1:120" s="2" customFormat="1" ht="30" customHeight="1" thickBot="1" x14ac:dyDescent="0.3">
      <c r="A30" s="41" t="s">
        <v>13</v>
      </c>
      <c r="B30" s="85" t="s">
        <v>68</v>
      </c>
      <c r="C30" s="86" t="s">
        <v>46</v>
      </c>
      <c r="D30" s="87">
        <v>0</v>
      </c>
      <c r="E30" s="88">
        <f>F29</f>
        <v>46195</v>
      </c>
      <c r="F30" s="88">
        <f>F29</f>
        <v>46195</v>
      </c>
      <c r="G30" s="11"/>
      <c r="H30" s="11"/>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row>
    <row r="31" spans="1:120" ht="30" customHeight="1" thickBot="1" x14ac:dyDescent="0.3">
      <c r="B31" s="89" t="s">
        <v>65</v>
      </c>
      <c r="C31" s="90"/>
      <c r="D31" s="91"/>
      <c r="E31" s="92"/>
      <c r="F31" s="93"/>
      <c r="G31" s="11"/>
      <c r="H31" s="11"/>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row>
    <row r="32" spans="1:120" ht="30" customHeight="1" thickBot="1" x14ac:dyDescent="0.3">
      <c r="B32" s="94" t="s">
        <v>69</v>
      </c>
      <c r="C32" s="95" t="s">
        <v>47</v>
      </c>
      <c r="D32" s="96">
        <v>0</v>
      </c>
      <c r="E32" s="97">
        <f>F30+1</f>
        <v>46196</v>
      </c>
      <c r="F32" s="97">
        <f>E32+3</f>
        <v>46199</v>
      </c>
      <c r="G32" s="11"/>
      <c r="H32" s="11"/>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row>
    <row r="33" spans="2:120" ht="30" customHeight="1" thickBot="1" x14ac:dyDescent="0.3">
      <c r="B33" s="94" t="s">
        <v>70</v>
      </c>
      <c r="C33" s="95" t="s">
        <v>46</v>
      </c>
      <c r="D33" s="96">
        <v>0</v>
      </c>
      <c r="E33" s="97">
        <f>F32+1</f>
        <v>46200</v>
      </c>
      <c r="F33" s="97">
        <f>E33+3</f>
        <v>46203</v>
      </c>
      <c r="G33" s="11"/>
      <c r="H33" s="11"/>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row>
    <row r="34" spans="2:120" ht="30" customHeight="1" thickBot="1" x14ac:dyDescent="0.3">
      <c r="B34" s="23" t="s">
        <v>17</v>
      </c>
      <c r="C34" s="24"/>
      <c r="D34" s="25"/>
      <c r="E34" s="67"/>
      <c r="F34" s="68"/>
      <c r="G34" s="26"/>
      <c r="H34" s="26" t="str">
        <f t="shared" si="50"/>
        <v/>
      </c>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row>
    <row r="35" spans="2:120" ht="30" customHeight="1" x14ac:dyDescent="0.25">
      <c r="G35" s="4"/>
    </row>
    <row r="36" spans="2:120" ht="30" customHeight="1" x14ac:dyDescent="0.25">
      <c r="C36" s="9"/>
      <c r="F36" s="42"/>
    </row>
    <row r="37" spans="2:120" ht="30" customHeight="1" x14ac:dyDescent="0.25">
      <c r="C37" s="10"/>
    </row>
  </sheetData>
  <mergeCells count="20">
    <mergeCell ref="B1:F1"/>
    <mergeCell ref="BM4:BS4"/>
    <mergeCell ref="BT4:BZ4"/>
    <mergeCell ref="BF4:BL4"/>
    <mergeCell ref="E3:F3"/>
    <mergeCell ref="I4:O4"/>
    <mergeCell ref="P4:V4"/>
    <mergeCell ref="W4:AC4"/>
    <mergeCell ref="AD4:AJ4"/>
    <mergeCell ref="C3:D3"/>
    <mergeCell ref="C4:D4"/>
    <mergeCell ref="AK4:AQ4"/>
    <mergeCell ref="AR4:AX4"/>
    <mergeCell ref="AY4:BE4"/>
    <mergeCell ref="DJ4:DP4"/>
    <mergeCell ref="CA4:CG4"/>
    <mergeCell ref="CH4:CN4"/>
    <mergeCell ref="CO4:CU4"/>
    <mergeCell ref="CV4:DB4"/>
    <mergeCell ref="DC4:DI4"/>
  </mergeCells>
  <phoneticPr fontId="37" type="noConversion"/>
  <conditionalFormatting sqref="D7:D34">
    <cfRule type="dataBar" priority="1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BT17:DP34 I5:BL34 BM8:BS34">
    <cfRule type="expression" dxfId="3" priority="34">
      <formula>AND(TODAY()&gt;=I$5,TODAY()&lt;J$5)</formula>
    </cfRule>
  </conditionalFormatting>
  <conditionalFormatting sqref="BT17:DP34 I7:BL34 BM8:BS34">
    <cfRule type="expression" dxfId="2" priority="28">
      <formula>AND(task_start&lt;=I$5,ROUNDDOWN((task_end-task_start+1)*task_progress,0)+task_start-1&gt;=I$5)</formula>
    </cfRule>
    <cfRule type="expression" dxfId="1" priority="29" stopIfTrue="1">
      <formula>AND(task_end&gt;=I$5,task_start&lt;J$5)</formula>
    </cfRule>
  </conditionalFormatting>
  <conditionalFormatting sqref="BM5:DP6">
    <cfRule type="expression" dxfId="0" priority="1">
      <formula>AND(TODAY()&gt;=BM$5,TODAY()&lt;BN$5)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0" customWidth="1"/>
    <col min="2" max="16384" width="9.140625" style="1"/>
  </cols>
  <sheetData>
    <row r="1" spans="1:2" ht="46.5" customHeight="1" x14ac:dyDescent="0.2"/>
    <row r="2" spans="1:2" s="32" customFormat="1" ht="15.75" x14ac:dyDescent="0.25">
      <c r="A2" s="31" t="s">
        <v>25</v>
      </c>
      <c r="B2" s="31"/>
    </row>
    <row r="3" spans="1:2" s="36" customFormat="1" ht="27" customHeight="1" x14ac:dyDescent="0.25">
      <c r="A3" s="57" t="s">
        <v>26</v>
      </c>
      <c r="B3" s="37"/>
    </row>
    <row r="4" spans="1:2" s="33" customFormat="1" ht="26.25" x14ac:dyDescent="0.4">
      <c r="A4" s="34" t="s">
        <v>27</v>
      </c>
    </row>
    <row r="5" spans="1:2" ht="74.099999999999994" customHeight="1" x14ac:dyDescent="0.2">
      <c r="A5" s="35" t="s">
        <v>28</v>
      </c>
    </row>
    <row r="6" spans="1:2" ht="26.25" customHeight="1" x14ac:dyDescent="0.2">
      <c r="A6" s="34" t="s">
        <v>29</v>
      </c>
    </row>
    <row r="7" spans="1:2" s="30" customFormat="1" ht="215.25" customHeight="1" x14ac:dyDescent="0.25">
      <c r="A7" s="39" t="s">
        <v>30</v>
      </c>
    </row>
    <row r="8" spans="1:2" s="33" customFormat="1" ht="26.25" x14ac:dyDescent="0.4">
      <c r="A8" s="34" t="s">
        <v>31</v>
      </c>
    </row>
    <row r="9" spans="1:2" ht="75" x14ac:dyDescent="0.2">
      <c r="A9" s="35" t="s">
        <v>32</v>
      </c>
    </row>
    <row r="10" spans="1:2" s="30" customFormat="1" ht="27.95" customHeight="1" x14ac:dyDescent="0.25">
      <c r="A10" s="38" t="s">
        <v>33</v>
      </c>
    </row>
    <row r="11" spans="1:2" s="33" customFormat="1" ht="26.25" x14ac:dyDescent="0.4">
      <c r="A11" s="34" t="s">
        <v>34</v>
      </c>
    </row>
    <row r="12" spans="1:2" ht="30" x14ac:dyDescent="0.2">
      <c r="A12" s="35" t="s">
        <v>35</v>
      </c>
    </row>
    <row r="13" spans="1:2" s="30" customFormat="1" ht="27.95" customHeight="1" x14ac:dyDescent="0.25">
      <c r="A13" s="38" t="s">
        <v>36</v>
      </c>
    </row>
    <row r="14" spans="1:2" s="33" customFormat="1" ht="26.25" x14ac:dyDescent="0.4">
      <c r="A14" s="34" t="s">
        <v>37</v>
      </c>
    </row>
    <row r="15" spans="1:2" ht="96.75" customHeight="1" x14ac:dyDescent="0.2">
      <c r="A15" s="35" t="s">
        <v>38</v>
      </c>
    </row>
    <row r="16" spans="1:2" ht="90" x14ac:dyDescent="0.2">
      <c r="A16" s="35" t="s">
        <v>39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2026-03-21T00:22:15Z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